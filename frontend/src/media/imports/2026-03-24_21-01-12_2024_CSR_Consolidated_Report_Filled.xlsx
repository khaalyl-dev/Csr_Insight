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4815" windowWidth="29040" windowHeight="15720" tabRatio="593" firstSheet="0" activeTab="0" autoFilterDateGrouping="1"/>
  </bookViews>
  <sheets>
    <sheet xmlns:r="http://schemas.openxmlformats.org/officeDocument/2006/relationships" name="Group figures" sheetId="1" state="visible" r:id="rId1"/>
    <sheet xmlns:r="http://schemas.openxmlformats.org/officeDocument/2006/relationships" name="Activities &amp; Slide Numbers" sheetId="2" state="visible" r:id="rId2"/>
    <sheet xmlns:r="http://schemas.openxmlformats.org/officeDocument/2006/relationships" name="Feuil4" sheetId="3" state="visible" r:id="rId3"/>
    <sheet xmlns:r="http://schemas.openxmlformats.org/officeDocument/2006/relationships" name="Feuil6" sheetId="4" state="visible" r:id="rId4"/>
    <sheet xmlns:r="http://schemas.openxmlformats.org/officeDocument/2006/relationships" name="EE0" sheetId="5" state="hidden" r:id="rId5"/>
    <sheet xmlns:r="http://schemas.openxmlformats.org/officeDocument/2006/relationships" name="categories" sheetId="6" state="hidden" r:id="rId6"/>
  </sheets>
  <definedNames>
    <definedName name="_xlnm._FilterDatabase" localSheetId="0" hidden="1">'Group figures'!$A$1:$T$128</definedName>
    <definedName name="_xlnm._FilterDatabase" localSheetId="1" hidden="1">'Activities &amp; Slide Numbers'!$A$1:$F$2</definedName>
    <definedName name="_xlnm._FilterDatabase" localSheetId="4" hidden="1">'EE0'!$A$1:$O$22</definedName>
  </definedNames>
  <calcPr calcId="191029" fullCalcOnLoad="1"/>
  <pivotCaches>
    <pivotCache xmlns:r="http://schemas.openxmlformats.org/officeDocument/2006/relationships" cacheId="1" r:id="rId7"/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\ &quot;€&quot;"/>
  </numFmts>
  <fonts count="1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2" tint="-0.8999908444471572"/>
      <sz val="11"/>
      <scheme val="minor"/>
    </font>
    <font>
      <name val="Calibri"/>
      <family val="2"/>
      <b val="1"/>
      <color rgb="FFFF0000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6" fillId="0" borderId="0"/>
    <xf numFmtId="9" fontId="6" fillId="0" borderId="0"/>
    <xf numFmtId="0" fontId="8" fillId="0" borderId="0"/>
  </cellStyleXfs>
  <cellXfs count="13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7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0" fillId="4" borderId="1" pivotButton="0" quotePrefix="0" xfId="0"/>
    <xf numFmtId="9" fontId="0" fillId="4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9" fontId="0" fillId="4" borderId="3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0" borderId="1" applyAlignment="1" pivotButton="0" quotePrefix="0" xfId="0">
      <alignment horizontal="center"/>
    </xf>
    <xf numFmtId="0" fontId="0" fillId="0" borderId="7" pivotButton="0" quotePrefix="0" xfId="0"/>
    <xf numFmtId="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0"/>
    <xf numFmtId="0" fontId="0" fillId="0" borderId="1" applyAlignment="1" pivotButton="0" quotePrefix="0" xfId="0">
      <alignment vertical="center"/>
    </xf>
    <xf numFmtId="0" fontId="0" fillId="2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2" borderId="8" applyAlignment="1" pivotButton="0" quotePrefix="0" xfId="0">
      <alignment vertical="center" wrapText="1"/>
    </xf>
    <xf numFmtId="9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1">
      <alignment horizontal="center" vertical="center" wrapText="1"/>
    </xf>
    <xf numFmtId="0" fontId="0" fillId="2" borderId="2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0" fontId="0" fillId="0" borderId="12" pivotButton="0" quotePrefix="0" xfId="0"/>
    <xf numFmtId="0" fontId="2" fillId="0" borderId="4" applyAlignment="1" pivotButton="0" quotePrefix="0" xfId="0">
      <alignment vertical="center" wrapText="1"/>
    </xf>
    <xf numFmtId="164" fontId="0" fillId="0" borderId="4" pivotButton="0" quotePrefix="0" xfId="1"/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0" fillId="2" borderId="5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1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0" fillId="0" borderId="0" pivotButton="1" quotePrefix="0" xfId="0"/>
    <xf numFmtId="0" fontId="0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4" fontId="0" fillId="0" borderId="2" applyAlignment="1" pivotButton="0" quotePrefix="0" xfId="1">
      <alignment horizontal="center" vertical="center" wrapText="1"/>
    </xf>
    <xf numFmtId="164" fontId="0" fillId="0" borderId="4" applyAlignment="1" pivotButton="0" quotePrefix="0" xfId="1">
      <alignment horizontal="center" vertical="center" wrapText="1"/>
    </xf>
    <xf numFmtId="0" fontId="0" fillId="2" borderId="2" applyAlignment="1" pivotButton="0" quotePrefix="0" xfId="0">
      <alignment horizontal="left" vertical="center"/>
    </xf>
    <xf numFmtId="0" fontId="0" fillId="2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/>
    </xf>
    <xf numFmtId="0" fontId="8" fillId="2" borderId="2" applyAlignment="1" pivotButton="0" quotePrefix="0" xfId="2">
      <alignment horizontal="center" vertical="center" wrapText="1"/>
    </xf>
    <xf numFmtId="0" fontId="8" fillId="2" borderId="4" applyAlignment="1" pivotButton="0" quotePrefix="0" xfId="2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0" borderId="1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3" pivotButton="0" quotePrefix="0" xfId="0"/>
    <xf numFmtId="164" fontId="0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164" fontId="0" fillId="0" borderId="2" applyAlignment="1" pivotButton="0" quotePrefix="0" xfId="1">
      <alignment horizontal="center" vertical="center" wrapText="1"/>
    </xf>
    <xf numFmtId="164" fontId="11" fillId="0" borderId="1" applyAlignment="1" pivotButton="0" quotePrefix="0" xfId="1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164" fontId="0" fillId="0" borderId="4" pivotButton="0" quotePrefix="0" xfId="1"/>
    <xf numFmtId="0" fontId="0" fillId="0" borderId="11" pivotButton="0" quotePrefix="0" xfId="0"/>
    <xf numFmtId="164" fontId="0" fillId="0" borderId="1" pivotButton="0" quotePrefix="0" xfId="1"/>
    <xf numFmtId="0" fontId="8" fillId="2" borderId="1" applyAlignment="1" pivotButton="0" quotePrefix="0" xfId="2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</cellXfs>
  <cellStyles count="3">
    <cellStyle name="Normal" xfId="0" builtinId="0"/>
    <cellStyle name="Pourcentage" xfId="1" builtinId="5"/>
    <cellStyle name="Lien hypertexte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pivotSource>
    <name>[2024 CSR Consolidated Report Form .xlsx]Feuil4!Tableau croisé dynamique15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Nbr of internal Participants par country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ivotFmts>
      <pivotFmt>
        <idx val="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7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3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2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3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4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5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6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7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8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9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5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5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52"/>
        <spPr>
          <a:gradFill xmlns:a="http://schemas.openxmlformats.org/drawingml/2006/main" rotWithShape="1">
            <a:gsLst>
              <a:gs pos="0">
                <a:schemeClr val="accent6">
                  <a:tint val="67000"/>
                  <a:satMod val="105000"/>
                  <a:lumMod val="110000"/>
                </a:schemeClr>
              </a:gs>
              <a:gs pos="50000">
                <a:schemeClr val="accent6">
                  <a:tint val="73000"/>
                  <a:satMod val="103000"/>
                  <a:lumMod val="105000"/>
                </a:schemeClr>
              </a:gs>
              <a:gs pos="100000">
                <a:schemeClr val="accent6">
                  <a:tint val="81000"/>
                  <a:satMod val="109000"/>
                  <a:lumMod val="105000"/>
                </a:schemeClr>
              </a:gs>
            </a:gsLst>
            <a:lin ang="5400000" scaled="0"/>
          </a:gradFill>
          <a:ln xmlns:a="http://schemas.openxmlformats.org/drawingml/2006/main" w="9525" cap="flat" cmpd="sng" algn="ctr">
            <a:solidFill>
              <a:schemeClr val="accent6">
                <a:shade val="95000"/>
              </a:schemeClr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53"/>
        <spPr>
          <a:gradFill xmlns:a="http://schemas.openxmlformats.org/drawingml/2006/main" rotWithShape="1">
            <a:gsLst>
              <a:gs pos="0">
                <a:schemeClr val="accent6">
                  <a:tint val="67000"/>
                  <a:satMod val="105000"/>
                  <a:lumMod val="110000"/>
                </a:schemeClr>
              </a:gs>
              <a:gs pos="50000">
                <a:schemeClr val="accent6">
                  <a:tint val="73000"/>
                  <a:satMod val="103000"/>
                  <a:lumMod val="105000"/>
                </a:schemeClr>
              </a:gs>
              <a:gs pos="100000">
                <a:schemeClr val="accent6">
                  <a:tint val="81000"/>
                  <a:satMod val="109000"/>
                  <a:lumMod val="105000"/>
                </a:schemeClr>
              </a:gs>
            </a:gsLst>
            <a:lin ang="5400000" scaled="0"/>
          </a:gradFill>
          <a:ln xmlns:a="http://schemas.openxmlformats.org/drawingml/2006/main" w="9525" cap="flat" cmpd="sng" algn="ctr">
            <a:solidFill>
              <a:schemeClr val="accent6">
                <a:shade val="95000"/>
              </a:schemeClr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86884191"/>
        <axId val="1386882271"/>
      </barChart>
      <catAx>
        <axId val="13868841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386882271"/>
        <crosses val="autoZero"/>
        <auto val="1"/>
        <lblAlgn val="ctr"/>
        <lblOffset val="100"/>
        <noMultiLvlLbl val="0"/>
      </catAx>
      <valAx>
        <axId val="138688227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38688419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[2024 CSR Consolidated Report Form .xlsx]Feuil6!Tableau croisé dynamique31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Total HC par Region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Feuil6!$C$3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Tianjin</v>
                  </pt>
                  <pt idx="1">
                    <v>Tianjin 2</v>
                  </pt>
                  <pt idx="2">
                    <v>Durrango</v>
                  </pt>
                  <pt idx="3">
                    <v>Honduras</v>
                  </pt>
                  <pt idx="4">
                    <v>Juarez</v>
                  </pt>
                  <pt idx="5">
                    <v>Léon</v>
                  </pt>
                  <pt idx="6">
                    <v>Kenitra</v>
                  </pt>
                  <pt idx="7">
                    <v>Tangier</v>
                  </pt>
                  <pt idx="8">
                    <v>Guarda</v>
                  </pt>
                  <pt idx="9">
                    <v>Guarda 2</v>
                  </pt>
                  <pt idx="10">
                    <v>Ploeisti</v>
                  </pt>
                  <pt idx="11">
                    <v>Romania</v>
                  </pt>
                  <pt idx="12">
                    <v>Serbia</v>
                  </pt>
                  <pt idx="13">
                    <v>Mdjez el beb</v>
                  </pt>
                  <pt idx="14">
                    <v>Tunis</v>
                  </pt>
                  <pt idx="15">
                    <v>(vide)</v>
                  </pt>
                </lvl>
                <lvl>
                  <pt idx="0">
                    <v>China</v>
                  </pt>
                  <pt idx="2">
                    <v>Mexico</v>
                  </pt>
                  <pt idx="6">
                    <v>Morocco</v>
                  </pt>
                  <pt idx="8">
                    <v>Portugal</v>
                  </pt>
                  <pt idx="10">
                    <v>Romania</v>
                  </pt>
                  <pt idx="12">
                    <v>Serbia</v>
                  </pt>
                  <pt idx="13">
                    <v>Tunisia</v>
                  </pt>
                  <pt idx="15">
                    <v>(vide)</v>
                  </pt>
                </lvl>
              </multiLvlStrCache>
              <f>Feuil6!$A$4:$B$19</f>
            </multiLvlStrRef>
          </cat>
          <val>
            <numRef>
              <f>Feuil6!$C$4:$C$19</f>
              <numCache>
                <formatCode>General</formatCode>
                <ptCount val="16"/>
                <pt idx="10">
                  <v>1</v>
                </pt>
                <pt idx="12">
                  <v>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0738431"/>
        <axId val="110738911"/>
      </barChart>
      <catAx>
        <axId val="1107384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0738911"/>
        <crosses val="autoZero"/>
        <auto val="1"/>
        <lblAlgn val="ctr"/>
        <lblOffset val="100"/>
        <noMultiLvlLbl val="0"/>
      </catAx>
      <valAx>
        <axId val="1107389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073843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tc={C17F1528-80B4-4592-9732-17362F5C79A9}</author>
    <author>tc={1EEE092A-62F3-42DF-A211-9B6BCEEC1161}</author>
    <author>tc={69D811F4-CB4B-4207-9BFC-B20F031976F7}</author>
    <author>tc={0957B3E5-A06A-4D51-A9D2-FDFDBD0A19CE}</author>
    <author>tc={E763D6B0-61E3-45DA-A74D-D6200EC84C86}</author>
    <author>tc={B84AC28C-B512-4535-99B1-E4BBAE3AE39E}</author>
    <author>Oumaima CHAAOURI</author>
    <author>tc={335F1F3E-C669-4111-87A0-B1FC88CA5116}</author>
  </authors>
  <commentList>
    <comment ref="K10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TBV</t>
      </text>
    </comment>
    <comment ref="E15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a well-being activity, not CSR</t>
      </text>
    </comment>
    <comment ref="E18" authorId="2" shapeId="0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and not CSR </t>
      </text>
    </comment>
    <comment ref="E21" authorId="3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Organised for our employees, so it is wellbeing and not CSR</t>
      </text>
    </comment>
    <comment ref="E34" authorId="4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EHS Activity and not CSR</t>
      </text>
    </comment>
    <comment ref="E38" authorId="5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not CSR</t>
      </text>
    </comment>
    <comment ref="P42" authorId="6" shapeId="0">
      <text>
        <t>Oumaima CHAAOURI:
Cleanup serra/fires</t>
      </text>
    </comment>
    <comment ref="O91" authorId="7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Budget of the award</t>
      </text>
    </comment>
  </commentList>
</comments>
</file>

<file path=xl/comments/comment2.xml><?xml version="1.0" encoding="utf-8"?>
<comments xmlns="http://schemas.openxmlformats.org/spreadsheetml/2006/main">
  <authors>
    <author>tc={70735862-7D53-4E57-81DA-5A1F5B21B361}</author>
    <author>tc={BC1C3B48-A956-4338-A68A-DE47AAEEAFA0}</author>
    <author>tc={71A9DAA4-1E19-409D-8637-3C65AB21553E}</author>
    <author>tc={E5CBD37D-E011-4317-B5E9-F38D8CDAF434}</author>
    <author>tc={620C5728-E6D9-4F84-A18A-607B5C8F0C98}</author>
    <author>tc={A07E4DEE-8EA8-4EE0-8F39-A429AC3AF550}</author>
    <author>tc={CB89DF5C-9983-47A9-AE3B-A55C1FC37FD9}</author>
    <author>tc={4DADC9A9-FCB3-4878-86C3-E1DF61CD1B3E}</author>
    <author>tc={CC06FD7D-08A2-4F94-9F4B-B92E7FF63ACB}</author>
    <author>tc={357AB9D0-181F-4C8A-974C-A5EC69947E64}</author>
    <author>tc={7D8D7643-49B4-4518-A80F-EAE54EA1ED3E}</author>
    <author>tc={08D91939-0985-457E-986A-BEA7D2E00A07}</author>
    <author>tc={B62DDA56-BBFC-4B17-BB89-FE0334E03763}</author>
    <author>tc={B09BE394-DA80-4DB8-8F94-AE23636694D9}</author>
    <author>tc={EE6E2708-6DCC-4540-8A68-A52AB7D21DB7}</author>
    <author>tc={CDD5EEE4-4A4D-4453-BB6B-96A2870B30E5}</author>
    <author>tc={7C0EF76B-2B72-48F9-A212-020CDE2ED88D}</author>
    <author>tc={3E1E46E4-41D5-4180-9DED-B2D14C2B0E12}</author>
    <author>tc={F27DF9B4-FDF6-4F1D-94C3-5C7CC8BA67D7}</author>
    <author>tc={897E0D5C-FCA4-400C-957D-18CA8D27E47E}</author>
  </authors>
  <commentList>
    <comment ref="E9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23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0" authorId="2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1" authorId="3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3" authorId="4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5" authorId="5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6" authorId="6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7" authorId="7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48" authorId="8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not a CSr Action rather a wellbeing</t>
      </text>
    </comment>
    <comment ref="E61" authorId="9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68" authorId="1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2" authorId="1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3" authorId="12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5" authorId="13" shapeId="0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
</t>
      </text>
    </comment>
    <comment ref="E77" authorId="14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8" authorId="15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9" authorId="16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80" authorId="17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81" authorId="18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82" authorId="19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</commentList>
</comments>
</file>

<file path=xl/comments/comment3.xml><?xml version="1.0" encoding="utf-8"?>
<comments xmlns="http://schemas.openxmlformats.org/spreadsheetml/2006/main">
  <authors>
    <author>Oumaima CHAAOURI</author>
  </authors>
  <commentList>
    <comment ref="E6" authorId="0" shapeId="0">
      <text>
        <t>Oumaima CHAAOURI:
Not CSR</t>
      </text>
    </comment>
    <comment ref="E8" authorId="0" shapeId="0">
      <text>
        <t>Oumaima CHAAOURI:
a wellbeing activity, not CSR</t>
      </text>
    </comment>
    <comment ref="E9" authorId="0" shapeId="0">
      <text>
        <t>Oumaima CHAAOURI:
Wellbeing activity and CSR</t>
      </text>
    </comment>
    <comment ref="E10" authorId="0" shapeId="0">
      <text>
        <t>Oumaima CHAAOURI:
wellbeing and not CSR</t>
      </text>
    </comment>
    <comment ref="E12" authorId="0" shapeId="0">
      <text>
        <t>Oumaima CHAAOURI:
Not CSR</t>
      </text>
    </comment>
    <comment ref="E13" authorId="0" shapeId="0">
      <text>
        <t>Oumaima CHAAOURI:
HR and not CSR</t>
      </text>
    </comment>
    <comment ref="E14" authorId="0" shapeId="0">
      <text>
        <t>Oumaima CHAAOURI:
not CSR</t>
      </text>
    </comment>
    <comment ref="E15" authorId="0" shapeId="0">
      <text>
        <t>Oumaima CHAAOURI:
not CSR</t>
      </text>
    </comment>
    <comment ref="E16" authorId="0" shapeId="0">
      <text>
        <t>Oumaima CHAAOURI:
not CSR</t>
      </text>
    </comment>
    <comment ref="E17" authorId="0" shapeId="0">
      <text>
        <t>Oumaima CHAAOURI:
not CSR</t>
      </text>
    </comment>
    <comment ref="E21" authorId="0" shapeId="0">
      <text>
        <t xml:space="preserve">Oumaima CHAAOURI:
not CSR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6</col>
      <colOff>438149</colOff>
      <row>11</row>
      <rowOff>52386</rowOff>
    </from>
    <to>
      <col>34</col>
      <colOff>19050</colOff>
      <row>27</row>
      <rowOff>190499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600075</colOff>
      <row>11</row>
      <rowOff>52387</rowOff>
    </from>
    <to>
      <col>13</col>
      <colOff>600075</colOff>
      <row>25</row>
      <rowOff>128587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umaima CHAAOURI" refreshedDate="45860.50271030093" createdVersion="8" refreshedVersion="8" minRefreshableVersion="3" recordCount="127" r:id="rId1">
  <cacheSource type="worksheet">
    <worksheetSource ref="A1:T128" sheet="Group figures"/>
  </cacheSource>
  <cacheFields count="20">
    <cacheField name="Activity N" uniqueList="1" numFmtId="0" sqlType="0" hierarchy="0" level="0" databaseField="1">
      <sharedItems count="0" containsBlank="1"/>
    </cacheField>
    <cacheField name="Region" uniqueList="1" numFmtId="0" sqlType="0" hierarchy="0" level="0" databaseField="1">
      <sharedItems count="0" containsBlank="1"/>
    </cacheField>
    <cacheField name="country" uniqueList="1" numFmtId="0" sqlType="0" hierarchy="0" level="0" databaseField="1">
      <sharedItems count="8" containsBlank="1">
        <m/>
        <s v="Serbia"/>
        <s v="Romania"/>
        <s v="China"/>
        <s v="Portugal"/>
        <s v="Mexico"/>
        <s v="Tunisia"/>
        <s v="Morocco"/>
      </sharedItems>
    </cacheField>
    <cacheField name="Plant" uniqueList="1" numFmtId="0" sqlType="0" hierarchy="0" level="0" databaseField="1">
      <sharedItems count="0" containsBlank="1"/>
    </cacheField>
    <cacheField name="Activity Title/ description" uniqueList="1" numFmtId="0" sqlType="0" hierarchy="0" level="0" databaseField="1">
      <sharedItems count="0" containsBlank="1"/>
    </cacheField>
    <cacheField name="Category" uniqueList="1" numFmtId="0" sqlType="0" hierarchy="0" level="0" databaseField="1">
      <sharedItems count="8" containsBlank="1">
        <m/>
        <s v="Social"/>
        <s v="Sports"/>
        <s v="Environment"/>
        <s v="Education"/>
        <s v="Health"/>
        <s v="P"/>
        <s v="Others"/>
      </sharedItems>
    </cacheField>
    <cacheField name="Nature of collaboration" uniqueList="1" numFmtId="0" sqlType="0" hierarchy="0" level="0" databaseField="1">
      <sharedItems count="0" containsBlank="1"/>
    </cacheField>
    <cacheField name="Year" uniqueList="1" numFmtId="0" sqlType="0" hierarchy="0" level="0" databaseField="1">
      <sharedItems count="0" containsBlank="1" containsInteger="1" containsNumber="1" containsString="0" minValue="2022" maxValue="2022"/>
    </cacheField>
    <cacheField name="Start year" uniqueList="1" numFmtId="0" sqlType="0" hierarchy="0" level="0" databaseField="1">
      <sharedItems count="0" containsBlank="1" containsNumber="1" containsString="0" minValue="0" maxValue="2024"/>
    </cacheField>
    <cacheField name="Edition" uniqueList="1" numFmtId="0" sqlType="0" hierarchy="0" level="0" databaseField="1">
      <sharedItems count="0" containsBlank="1" containsInteger="1" containsNumber="1" containsString="0" minValue="1" maxValue="7"/>
    </cacheField>
    <cacheField name="Nbr of internal Participants" uniqueList="1" numFmtId="0" sqlType="0" hierarchy="0" level="0" databaseField="1">
      <sharedItems count="0" containsBlank="1" containsInteger="1" containsNumber="1" containsString="0" minValue="0" maxValue="1275"/>
    </cacheField>
    <cacheField name="Total HC" uniqueList="1" numFmtId="0" sqlType="0" hierarchy="0" level="0" databaseField="1">
      <sharedItems count="0" containsBlank="1" containsInteger="1" containsNumber="1" containsString="0" minValue="307" maxValue="910"/>
    </cacheField>
    <cacheField name="Percentage out of all the employees % " uniqueList="1" numFmtId="0" sqlType="0" hierarchy="0" level="0" databaseField="1">
      <sharedItems count="0" containsBlank="1" containsNumber="1" containsString="0" minValue="0" maxValue="0.9771986970684039"/>
    </cacheField>
    <cacheField name="Estimated Budget in €" uniqueList="1" numFmtId="0" sqlType="0" hierarchy="0" level="0" databaseField="1">
      <sharedItems count="0" containsBlank="1" containsInteger="1" containsNumber="1" containsString="0" minValue="0" maxValue="0"/>
    </cacheField>
    <cacheField name="Actual Budget in €" uniqueList="1" numFmtId="0" sqlType="0" hierarchy="0" level="0" databaseField="1">
      <sharedItems count="0" containsBlank="1" containsInteger="1" containsNumber="1" containsString="0" minValue="0" maxValue="7277"/>
    </cacheField>
    <cacheField name="Action Impact _x000a_In Numbers" uniqueList="1" numFmtId="0" sqlType="0" hierarchy="0" level="0" databaseField="1">
      <sharedItems count="0" containsBlank="1" containsInteger="1" containsMixedTypes="1" containsNumber="1" minValue="0" maxValue="5000"/>
    </cacheField>
    <cacheField name="Action Impact_x000a_Unit" uniqueList="1" numFmtId="0" sqlType="0" hierarchy="0" level="0" databaseField="1">
      <sharedItems count="0" containsBlank="1" containsInteger="1" containsMixedTypes="1" containsNumber="1" minValue="0" maxValue="0"/>
    </cacheField>
    <cacheField name="Organizer" uniqueList="1" numFmtId="0" sqlType="0" hierarchy="0" level="0" databaseField="1">
      <sharedItems count="0" containsBlank="1"/>
    </cacheField>
    <cacheField name="External Partner" uniqueList="1" numFmtId="0" sqlType="0" hierarchy="0" level="0" databaseField="1">
      <sharedItems count="0" containsBlank="1" containsInteger="1" containsMixedTypes="1" containsNumber="1" minValue="13" maxValue="13"/>
    </cacheField>
    <cacheField name="Number of External Partners" uniqueList="1" numFmtId="0" sqlType="0" hierarchy="0" level="0" databaseField="1">
      <sharedItems count="0" containsBlank="1" containsInteger="1" containsNumber="1" containsString="0" minValue="0" maxValue="3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umaima CHAAOURI" refreshedDate="45860.50270949074" createdVersion="8" refreshedVersion="8" minRefreshableVersion="3" recordCount="127" r:id="rId1">
  <cacheSource type="worksheet">
    <worksheetSource ref="A1:T128" sheet="Group figures"/>
  </cacheSource>
  <cacheFields count="20">
    <cacheField name="Activity N" uniqueList="1" numFmtId="0" sqlType="0" hierarchy="0" level="0" databaseField="1">
      <sharedItems count="0" containsBlank="1"/>
    </cacheField>
    <cacheField name="Region" uniqueList="1" numFmtId="0" sqlType="0" hierarchy="0" level="0" databaseField="1">
      <sharedItems count="0" containsBlank="1"/>
    </cacheField>
    <cacheField name="country" uniqueList="1" numFmtId="0" sqlType="0" hierarchy="0" level="0" databaseField="1">
      <sharedItems count="8" containsBlank="1">
        <m/>
        <s v="Serbia"/>
        <s v="Romania"/>
        <s v="China"/>
        <s v="Portugal"/>
        <s v="Mexico"/>
        <s v="Tunisia"/>
        <s v="Morocco"/>
      </sharedItems>
    </cacheField>
    <cacheField name="Plant" uniqueList="1" numFmtId="0" sqlType="0" hierarchy="0" level="0" databaseField="1">
      <sharedItems count="16" containsBlank="1">
        <m/>
        <s v="Serbia"/>
        <s v="Ploeisti"/>
        <s v="Romania"/>
        <s v="Tianjin"/>
        <s v="Tianjin 2"/>
        <s v="Guarda"/>
        <s v="Guarda 2"/>
        <s v="Durrango"/>
        <s v="Léon"/>
        <s v="Honduras"/>
        <s v="Juarez"/>
        <s v="Tunis"/>
        <s v="Mdjez el beb"/>
        <s v="Tangier"/>
        <s v="Kenitra"/>
      </sharedItems>
    </cacheField>
    <cacheField name="Activity Title/ description" uniqueList="1" numFmtId="0" sqlType="0" hierarchy="0" level="0" databaseField="1">
      <sharedItems count="0" containsBlank="1"/>
    </cacheField>
    <cacheField name="Category" uniqueList="1" numFmtId="0" sqlType="0" hierarchy="0" level="0" databaseField="1">
      <sharedItems count="0" containsBlank="1"/>
    </cacheField>
    <cacheField name="Nature of collaboration" uniqueList="1" numFmtId="0" sqlType="0" hierarchy="0" level="0" databaseField="1">
      <sharedItems count="0" containsBlank="1"/>
    </cacheField>
    <cacheField name="Year" uniqueList="1" numFmtId="0" sqlType="0" hierarchy="0" level="0" databaseField="1">
      <sharedItems count="0" containsBlank="1" containsInteger="1" containsNumber="1" containsString="0" minValue="2022" maxValue="2022"/>
    </cacheField>
    <cacheField name="Start year" uniqueList="1" numFmtId="0" sqlType="0" hierarchy="0" level="0" databaseField="1">
      <sharedItems count="0" containsBlank="1" containsNumber="1" containsString="0" minValue="0" maxValue="2024"/>
    </cacheField>
    <cacheField name="Edition" uniqueList="1" numFmtId="0" sqlType="0" hierarchy="0" level="0" databaseField="1">
      <sharedItems count="0" containsBlank="1" containsInteger="1" containsNumber="1" containsString="0" minValue="1" maxValue="7"/>
    </cacheField>
    <cacheField name="Nbr of internal Participants" uniqueList="1" numFmtId="0" sqlType="0" hierarchy="0" level="0" databaseField="1">
      <sharedItems count="0" containsBlank="1" containsInteger="1" containsNumber="1" containsString="0" minValue="0" maxValue="1275"/>
    </cacheField>
    <cacheField name="Total HC" uniqueList="1" numFmtId="0" sqlType="0" hierarchy="0" level="0" databaseField="1">
      <sharedItems count="0" containsBlank="1" containsInteger="1" containsNumber="1" containsString="0" minValue="307" maxValue="910"/>
    </cacheField>
    <cacheField name="Percentage out of all the employees % " uniqueList="1" numFmtId="0" sqlType="0" hierarchy="0" level="0" databaseField="1">
      <sharedItems count="0" containsBlank="1" containsNumber="1" containsString="0" minValue="0" maxValue="0.9771986970684039"/>
    </cacheField>
    <cacheField name="Estimated Budget in €" uniqueList="1" numFmtId="0" sqlType="0" hierarchy="0" level="0" databaseField="1">
      <sharedItems count="0" containsBlank="1" containsInteger="1" containsNumber="1" containsString="0" minValue="0" maxValue="0"/>
    </cacheField>
    <cacheField name="Actual Budget in €" uniqueList="1" numFmtId="0" sqlType="0" hierarchy="0" level="0" databaseField="1">
      <sharedItems count="0" containsBlank="1" containsInteger="1" containsNumber="1" containsString="0" minValue="0" maxValue="7277"/>
    </cacheField>
    <cacheField name="Action Impact _x000a_In Numbers" uniqueList="1" numFmtId="0" sqlType="0" hierarchy="0" level="0" databaseField="1">
      <sharedItems count="0" containsBlank="1" containsInteger="1" containsMixedTypes="1" containsNumber="1" minValue="0" maxValue="5000"/>
    </cacheField>
    <cacheField name="Action Impact_x000a_Unit" uniqueList="1" numFmtId="0" sqlType="0" hierarchy="0" level="0" databaseField="1">
      <sharedItems count="0" containsBlank="1" containsInteger="1" containsMixedTypes="1" containsNumber="1" minValue="0" maxValue="0"/>
    </cacheField>
    <cacheField name="Organizer" uniqueList="1" numFmtId="0" sqlType="0" hierarchy="0" level="0" databaseField="1">
      <sharedItems count="0" containsBlank="1"/>
    </cacheField>
    <cacheField name="External Partner" uniqueList="1" numFmtId="0" sqlType="0" hierarchy="0" level="0" databaseField="1">
      <sharedItems count="0" containsBlank="1" containsInteger="1" containsMixedTypes="1" containsNumber="1" minValue="13" maxValue="13"/>
    </cacheField>
    <cacheField name="Number of External Partners" uniqueList="1" numFmtId="0" sqlType="0" hierarchy="0" level="0" databaseField="1">
      <sharedItems count="0" containsBlank="1" containsInteger="1" containsNumber="1" containsString="0" minValue="0" maxValue="3"/>
    </cacheField>
  </cacheFields>
</pivotCacheDefinition>
</file>

<file path=xl/pivotCache/pivotCacheRecords1.xml><?xml version="1.0" encoding="utf-8"?>
<pivotCacheRecords xmlns="http://schemas.openxmlformats.org/spreadsheetml/2006/main" count="127">
  <r>
    <m/>
    <m/>
    <x v="0"/>
    <m/>
    <m/>
    <x v="0"/>
    <m/>
    <m/>
    <m/>
    <m/>
    <m/>
    <m/>
    <m/>
    <m/>
    <m/>
    <m/>
    <m/>
    <m/>
    <m/>
    <m/>
  </r>
  <r>
    <s v="CSR 1"/>
    <s v="EE"/>
    <x v="1"/>
    <s v="Serbia"/>
    <s v="Donation for “Be Human” foundation "/>
    <x v="1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s v="Serbia"/>
    <s v="Donation – the Womens Association „Kraljevčanke“"/>
    <x v="1"/>
    <s v="Charity/Donation"/>
    <m/>
    <n v="2024"/>
    <n v="1"/>
    <n v="2"/>
    <n v="307"/>
    <n v="0.006514657980456026"/>
    <m/>
    <n v="170"/>
    <s v="NA"/>
    <s v="NA"/>
    <s v="HR"/>
    <s v="Women’s Association „Kraljevčanke“ from Kraljevc"/>
    <n v="1"/>
  </r>
  <r>
    <s v="CSR 3"/>
    <s v="EE"/>
    <x v="1"/>
    <s v="Serbia"/>
    <s v="Donation- Technical School "/>
    <x v="2"/>
    <s v="Charity/Donation"/>
    <m/>
    <n v="2022"/>
    <n v="3"/>
    <n v="3"/>
    <n v="307"/>
    <n v="0.009771986970684038"/>
    <m/>
    <n v="475"/>
    <n v="160"/>
    <s v="Sports wear"/>
    <s v="HR"/>
    <s v="Technical School Stara Pazova "/>
    <n v="1"/>
  </r>
  <r>
    <s v="CSR 4"/>
    <s v="EE"/>
    <x v="1"/>
    <s v="Serbia"/>
    <s v="Donation- Svratište "/>
    <x v="1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s v="Serbia"/>
    <s v="World Environment day- planting trees and cleaning action"/>
    <x v="3"/>
    <s v="Partnership"/>
    <m/>
    <n v="2024"/>
    <n v="1"/>
    <n v="20"/>
    <n v="307"/>
    <n v="0.06514657980456026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s v="Serbia"/>
    <s v="Donating cables – „Road Arrow„"/>
    <x v="4"/>
    <s v="Sponsorship"/>
    <m/>
    <n v="2024"/>
    <n v="1"/>
    <n v="3"/>
    <n v="307"/>
    <n v="0.009771986970684038"/>
    <m/>
    <n v="200"/>
    <s v="NA"/>
    <s v="Cables"/>
    <s v="HR"/>
    <s v="Serbian Formula Student team „ Road Arrow"/>
    <n v="1"/>
  </r>
  <r>
    <s v="CSR 7"/>
    <s v="EE"/>
    <x v="1"/>
    <s v="Serbia"/>
    <s v="Air conditioners donation- Golubinci school"/>
    <x v="4"/>
    <s v="Charity/Donation"/>
    <m/>
    <n v="2022"/>
    <n v="2"/>
    <n v="5"/>
    <n v="307"/>
    <n v="0.01628664495114007"/>
    <m/>
    <n v="1330"/>
    <n v="4"/>
    <s v="Air conditioners"/>
    <s v="HR"/>
    <s v="elementary school &quot;23. oktobar"/>
    <n v="1"/>
  </r>
  <r>
    <s v="CSR 8"/>
    <s v="EE"/>
    <x v="1"/>
    <s v="Serbia"/>
    <s v="Donation- Drop-in shelter center"/>
    <x v="1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s v="Serbia"/>
    <s v="Pink October"/>
    <x v="5"/>
    <s v="Sponsorship"/>
    <m/>
    <n v="2024"/>
    <n v="1"/>
    <n v="1"/>
    <n v="307"/>
    <n v="0.003257328990228013"/>
    <m/>
    <n v="1307"/>
    <n v="50"/>
    <s v="Free breast examinations"/>
    <s v="HR"/>
    <s v="health institute &quot;Medica Nova"/>
    <n v="1"/>
  </r>
  <r>
    <s v="CSR 10"/>
    <s v="EE"/>
    <x v="1"/>
    <s v="Serbia"/>
    <s v="Blood Donation"/>
    <x v="5"/>
    <s v="Charity/Donation"/>
    <m/>
    <n v="2023"/>
    <n v="2"/>
    <n v="10"/>
    <n v="307"/>
    <n v="0.03257328990228013"/>
    <m/>
    <n v="285"/>
    <n v="50"/>
    <s v="blood bags"/>
    <s v="HR"/>
    <s v="Blood Transfusion Institute Serbia"/>
    <n v="1"/>
  </r>
  <r>
    <s v="CSR 11"/>
    <s v="EE"/>
    <x v="1"/>
    <s v="Serbia"/>
    <s v="Battery recycling"/>
    <x v="3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s v="Serbia"/>
    <s v="Cap for handicap"/>
    <x v="3"/>
    <s v="Others"/>
    <m/>
    <n v="2023"/>
    <n v="2"/>
    <n v="250"/>
    <n v="307"/>
    <n v="0.8143322475570033"/>
    <m/>
    <n v="0"/>
    <n v="30"/>
    <s v="Kg of plastic caps"/>
    <s v="HR/EHS"/>
    <s v="NA"/>
    <n v="0"/>
  </r>
  <r>
    <s v="CSR 13"/>
    <s v="EE"/>
    <x v="2"/>
    <s v="Ploeisti"/>
    <s v="Anti-drug awareness campaigns in Coficab"/>
    <x v="5"/>
    <s v="Others"/>
    <m/>
    <n v="2024"/>
    <n v="1"/>
    <n v="66"/>
    <n v="307"/>
    <n v="0.2149837133550489"/>
    <m/>
    <n v="0"/>
    <n v="0"/>
    <s v="NA"/>
    <s v="HR/EHS"/>
    <s v="NA"/>
    <n v="0"/>
  </r>
  <r>
    <s v="CSR 14"/>
    <s v="EE"/>
    <x v="2"/>
    <s v="Ploeisti"/>
    <s v="Donating equipment to a sports club for children"/>
    <x v="2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s v="Ploeisti"/>
    <s v="Rehabilitation of a playground for an educational facility in an educational institution"/>
    <x v="3"/>
    <s v="Partnership"/>
    <m/>
    <n v="2024"/>
    <n v="1"/>
    <n v="15"/>
    <n v="313"/>
    <n v="0.04792332268370607"/>
    <m/>
    <n v="1500"/>
    <s v="NA"/>
    <s v="Cables"/>
    <s v="HR"/>
    <m/>
    <m/>
  </r>
  <r>
    <s v="CSR 16"/>
    <s v="EE"/>
    <x v="2"/>
    <s v="Ploeisti"/>
    <m/>
    <x v="0"/>
    <m/>
    <m/>
    <m/>
    <n v="1"/>
    <m/>
    <n v="313"/>
    <n v="0"/>
    <m/>
    <m/>
    <s v="NA"/>
    <s v="Clothing"/>
    <s v="HR"/>
    <m/>
    <m/>
  </r>
  <r>
    <s v="CSR 17"/>
    <s v="EE"/>
    <x v="2"/>
    <s v="Ploeisti"/>
    <m/>
    <x v="0"/>
    <m/>
    <m/>
    <m/>
    <n v="1"/>
    <m/>
    <n v="313"/>
    <n v="0"/>
    <m/>
    <m/>
    <s v="NA "/>
    <s v="NA"/>
    <s v="HR"/>
    <m/>
    <m/>
  </r>
  <r>
    <s v="CSR 18"/>
    <s v="EE"/>
    <x v="2"/>
    <s v="Ploeisti"/>
    <m/>
    <x v="0"/>
    <m/>
    <m/>
    <m/>
    <n v="1"/>
    <m/>
    <n v="313"/>
    <n v="0"/>
    <m/>
    <m/>
    <n v="200"/>
    <s v="Trees"/>
    <s v="EHS"/>
    <m/>
    <m/>
  </r>
  <r>
    <s v="CSR 19"/>
    <s v="EE"/>
    <x v="2"/>
    <s v="Romania"/>
    <m/>
    <x v="0"/>
    <m/>
    <m/>
    <m/>
    <n v="1"/>
    <m/>
    <n v="411"/>
    <n v="0"/>
    <m/>
    <m/>
    <s v="NA"/>
    <s v="NA"/>
    <s v="HR"/>
    <m/>
    <m/>
  </r>
  <r>
    <s v="CSR 20"/>
    <s v="EE"/>
    <x v="2"/>
    <s v="Romania"/>
    <m/>
    <x v="0"/>
    <m/>
    <m/>
    <m/>
    <n v="1"/>
    <m/>
    <n v="411"/>
    <n v="0"/>
    <m/>
    <m/>
    <s v="NA"/>
    <s v="NA"/>
    <s v="HR"/>
    <m/>
    <m/>
  </r>
  <r>
    <s v="CSR 21"/>
    <s v="EE"/>
    <x v="2"/>
    <s v="Romania"/>
    <m/>
    <x v="0"/>
    <m/>
    <m/>
    <m/>
    <n v="1"/>
    <m/>
    <n v="411"/>
    <n v="0"/>
    <m/>
    <m/>
    <s v="NA"/>
    <s v="NA"/>
    <s v="HR"/>
    <m/>
    <m/>
  </r>
  <r>
    <s v="CSR 22"/>
    <s v="EE"/>
    <x v="2"/>
    <s v="Romania"/>
    <m/>
    <x v="0"/>
    <m/>
    <m/>
    <m/>
    <n v="1"/>
    <m/>
    <n v="411"/>
    <n v="0"/>
    <m/>
    <m/>
    <n v="10"/>
    <s v="Bags of clothes"/>
    <s v="HR"/>
    <m/>
    <m/>
  </r>
  <r>
    <s v="CSR 23"/>
    <s v="EE"/>
    <x v="2"/>
    <s v="Romania"/>
    <m/>
    <x v="0"/>
    <m/>
    <m/>
    <m/>
    <n v="1"/>
    <m/>
    <n v="411"/>
    <n v="0"/>
    <m/>
    <m/>
    <s v="NA"/>
    <s v="NA"/>
    <s v="HR"/>
    <m/>
    <m/>
  </r>
  <r>
    <s v="CSR 24"/>
    <s v="EE"/>
    <x v="2"/>
    <s v="Romania"/>
    <m/>
    <x v="0"/>
    <m/>
    <m/>
    <m/>
    <n v="1"/>
    <m/>
    <n v="411"/>
    <n v="0"/>
    <m/>
    <m/>
    <s v="NA"/>
    <s v="NA"/>
    <s v="EHS"/>
    <m/>
    <m/>
  </r>
  <r>
    <s v="CSR 25"/>
    <s v="EE"/>
    <x v="2"/>
    <s v="Romania"/>
    <m/>
    <x v="0"/>
    <m/>
    <m/>
    <m/>
    <n v="1"/>
    <m/>
    <n v="411"/>
    <n v="0"/>
    <m/>
    <m/>
    <s v="NA"/>
    <s v="NA"/>
    <s v="EHS"/>
    <m/>
    <m/>
  </r>
  <r>
    <s v="CSR 26"/>
    <s v="EE"/>
    <x v="2"/>
    <s v="Romania"/>
    <m/>
    <x v="0"/>
    <m/>
    <m/>
    <m/>
    <n v="1"/>
    <m/>
    <n v="411"/>
    <n v="0"/>
    <m/>
    <m/>
    <n v="174"/>
    <s v="Trees"/>
    <s v="EHS"/>
    <m/>
    <m/>
  </r>
  <r>
    <s v="CSR 27"/>
    <s v="EE"/>
    <x v="2"/>
    <s v="Romania"/>
    <m/>
    <x v="0"/>
    <m/>
    <m/>
    <m/>
    <n v="1"/>
    <m/>
    <n v="411"/>
    <n v="0"/>
    <m/>
    <m/>
    <s v="NA"/>
    <s v="NA"/>
    <s v="HR"/>
    <m/>
    <m/>
  </r>
  <r>
    <s v="CSR 28"/>
    <s v="ASIA"/>
    <x v="3"/>
    <s v="Tianjin"/>
    <m/>
    <x v="0"/>
    <m/>
    <m/>
    <m/>
    <n v="1"/>
    <m/>
    <n v="314"/>
    <n v="0"/>
    <m/>
    <m/>
    <s v="NA"/>
    <s v="NA"/>
    <s v="HR"/>
    <m/>
    <m/>
  </r>
  <r>
    <s v="CSR 29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0"/>
    <s v="ASIA"/>
    <x v="3"/>
    <s v="Tianjin"/>
    <m/>
    <x v="0"/>
    <m/>
    <m/>
    <m/>
    <n v="1"/>
    <m/>
    <n v="314"/>
    <n v="0"/>
    <m/>
    <m/>
    <s v="NA"/>
    <s v="NA"/>
    <s v="HR"/>
    <m/>
    <m/>
  </r>
  <r>
    <s v="CSR 31"/>
    <s v="ASIA"/>
    <x v="3"/>
    <s v="Tianjin"/>
    <m/>
    <x v="0"/>
    <m/>
    <m/>
    <m/>
    <n v="1"/>
    <m/>
    <n v="314"/>
    <n v="0"/>
    <m/>
    <m/>
    <s v="NA"/>
    <s v="NA"/>
    <s v="EHS"/>
    <m/>
    <m/>
  </r>
  <r>
    <s v="CSR 32"/>
    <s v="ASIA"/>
    <x v="3"/>
    <s v="Tianjin"/>
    <m/>
    <x v="0"/>
    <m/>
    <m/>
    <m/>
    <n v="1"/>
    <m/>
    <n v="314"/>
    <n v="0"/>
    <m/>
    <m/>
    <s v="NA "/>
    <s v="Wheelchairs"/>
    <s v="HR"/>
    <m/>
    <m/>
  </r>
  <r>
    <s v="CSR 33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4"/>
    <s v="ASIA"/>
    <x v="3"/>
    <s v="Tianjin"/>
    <m/>
    <x v="0"/>
    <m/>
    <m/>
    <m/>
    <n v="1"/>
    <m/>
    <n v="314"/>
    <n v="0"/>
    <m/>
    <m/>
    <s v="NA"/>
    <s v="NA"/>
    <s v="EHS"/>
    <m/>
    <m/>
  </r>
  <r>
    <s v="CSR 35"/>
    <s v="ASIA"/>
    <x v="3"/>
    <s v="Tianjin"/>
    <m/>
    <x v="0"/>
    <m/>
    <m/>
    <m/>
    <n v="1"/>
    <m/>
    <n v="314"/>
    <n v="0"/>
    <m/>
    <m/>
    <s v="NA"/>
    <s v="NA"/>
    <s v="EHS"/>
    <m/>
    <m/>
  </r>
  <r>
    <s v="CSR 36"/>
    <s v="western Europe"/>
    <x v="4"/>
    <s v="Guarda"/>
    <m/>
    <x v="0"/>
    <m/>
    <m/>
    <m/>
    <n v="1"/>
    <m/>
    <n v="910"/>
    <n v="0"/>
    <m/>
    <m/>
    <n v="150"/>
    <s v="Student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7"/>
    <s v="western Europe"/>
    <x v="4"/>
    <s v="Guarda"/>
    <m/>
    <x v="0"/>
    <m/>
    <m/>
    <m/>
    <n v="7"/>
    <m/>
    <n v="910"/>
    <n v="0"/>
    <m/>
    <m/>
    <s v="NA"/>
    <s v="Cabl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8"/>
    <s v="western Europe"/>
    <x v="4"/>
    <s v="Guarda"/>
    <m/>
    <x v="0"/>
    <m/>
    <m/>
    <m/>
    <n v="3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9"/>
    <s v="western Europe"/>
    <x v="4"/>
    <s v="Guarda"/>
    <m/>
    <x v="0"/>
    <m/>
    <m/>
    <m/>
    <n v="2"/>
    <m/>
    <n v="910"/>
    <n v="0"/>
    <m/>
    <m/>
    <n v="2100"/>
    <s v="Tre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40"/>
    <s v="western Europe"/>
    <x v="4"/>
    <s v="Guarda"/>
    <m/>
    <x v="0"/>
    <m/>
    <m/>
    <m/>
    <n v="2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1"/>
    <s v="western Europe"/>
    <x v="4"/>
    <s v="Guarda"/>
    <m/>
    <x v="0"/>
    <m/>
    <m/>
    <m/>
    <n v="3"/>
    <m/>
    <n v="910"/>
    <n v="0"/>
    <m/>
    <m/>
    <s v="NA"/>
    <s v="NA"/>
    <s v="EHS/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2"/>
    <s v="America"/>
    <x v="5"/>
    <s v="Durrango"/>
    <m/>
    <x v="0"/>
    <m/>
    <m/>
    <m/>
    <n v="4"/>
    <m/>
    <n v="801"/>
    <n v="0"/>
    <m/>
    <m/>
    <s v="NA"/>
    <s v="NA"/>
    <s v="HR"/>
    <m/>
    <m/>
  </r>
  <r>
    <s v="CSR 43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4"/>
    <s v="America"/>
    <x v="5"/>
    <s v="Durrango"/>
    <m/>
    <x v="0"/>
    <m/>
    <m/>
    <m/>
    <n v="1"/>
    <m/>
    <n v="801"/>
    <m/>
    <m/>
    <m/>
    <s v="NA"/>
    <s v="NA"/>
    <s v="HR"/>
    <m/>
    <m/>
  </r>
  <r>
    <s v="CSR 45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6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7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8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9"/>
    <s v="America"/>
    <x v="5"/>
    <s v="Durrango"/>
    <m/>
    <x v="0"/>
    <m/>
    <m/>
    <m/>
    <n v="1"/>
    <m/>
    <n v="801"/>
    <n v="0"/>
    <m/>
    <m/>
    <n v="100"/>
    <s v="Person impacted"/>
    <s v="HR"/>
    <m/>
    <m/>
  </r>
  <r>
    <s v="CSR 50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1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2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3"/>
    <s v="America"/>
    <x v="5"/>
    <s v="Léon"/>
    <m/>
    <x v="0"/>
    <m/>
    <m/>
    <m/>
    <n v="1"/>
    <m/>
    <n v="615"/>
    <n v="0"/>
    <m/>
    <m/>
    <s v="NA"/>
    <s v="NA"/>
    <s v="HR"/>
    <m/>
    <m/>
  </r>
  <r>
    <s v="CSR 54"/>
    <s v="America"/>
    <x v="5"/>
    <s v="Léon"/>
    <m/>
    <x v="0"/>
    <m/>
    <m/>
    <m/>
    <n v="1"/>
    <m/>
    <n v="615"/>
    <n v="0"/>
    <m/>
    <m/>
    <s v="NA"/>
    <s v="Bottle Caps"/>
    <s v="HR"/>
    <m/>
    <m/>
  </r>
  <r>
    <s v="CSR 55"/>
    <s v="America"/>
    <x v="5"/>
    <s v="Léon"/>
    <m/>
    <x v="0"/>
    <m/>
    <m/>
    <m/>
    <n v="1"/>
    <m/>
    <n v="615"/>
    <n v="0"/>
    <m/>
    <m/>
    <n v="200"/>
    <s v="Trees"/>
    <s v="HR"/>
    <m/>
    <m/>
  </r>
  <r>
    <s v="CSR 56"/>
    <s v="America"/>
    <x v="5"/>
    <s v="Léon"/>
    <m/>
    <x v="0"/>
    <m/>
    <m/>
    <m/>
    <n v="1"/>
    <m/>
    <n v="615"/>
    <n v="0"/>
    <m/>
    <m/>
    <s v="NA"/>
    <s v="NA"/>
    <s v="HR"/>
    <m/>
    <m/>
  </r>
  <r>
    <s v="CSR 57"/>
    <s v="America"/>
    <x v="5"/>
    <s v="Léon"/>
    <m/>
    <x v="0"/>
    <m/>
    <m/>
    <m/>
    <n v="1"/>
    <m/>
    <n v="615"/>
    <n v="0"/>
    <m/>
    <m/>
    <n v="100"/>
    <s v="Electronic equipment"/>
    <s v="HR"/>
    <m/>
    <m/>
  </r>
  <r>
    <s v="CSR 58"/>
    <s v="America"/>
    <x v="5"/>
    <s v="Léon"/>
    <m/>
    <x v="0"/>
    <m/>
    <m/>
    <m/>
    <n v="1"/>
    <m/>
    <n v="615"/>
    <n v="0"/>
    <m/>
    <m/>
    <s v="NA"/>
    <s v="NA"/>
    <s v="HR"/>
    <m/>
    <m/>
  </r>
  <r>
    <s v="CSR 59"/>
    <s v="America"/>
    <x v="5"/>
    <s v="Léon"/>
    <m/>
    <x v="0"/>
    <m/>
    <m/>
    <m/>
    <n v="1"/>
    <m/>
    <n v="615"/>
    <n v="0"/>
    <m/>
    <m/>
    <n v="25"/>
    <s v="units of blood"/>
    <s v="HR"/>
    <m/>
    <m/>
  </r>
  <r>
    <s v="CSR 60"/>
    <s v="America"/>
    <x v="5"/>
    <s v="Léon"/>
    <m/>
    <x v="0"/>
    <m/>
    <m/>
    <m/>
    <n v="1"/>
    <m/>
    <n v="615"/>
    <n v="0"/>
    <m/>
    <m/>
    <s v="NA"/>
    <s v="NA"/>
    <s v="HR"/>
    <m/>
    <m/>
  </r>
  <r>
    <s v="CSR 61"/>
    <s v="America"/>
    <x v="5"/>
    <s v="Léon"/>
    <m/>
    <x v="0"/>
    <m/>
    <m/>
    <m/>
    <n v="1"/>
    <m/>
    <n v="615"/>
    <n v="0"/>
    <m/>
    <m/>
    <n v="20"/>
    <s v="books"/>
    <s v="HR"/>
    <m/>
    <m/>
  </r>
  <r>
    <s v="CSR 62"/>
    <s v="America"/>
    <x v="5"/>
    <s v="Léon"/>
    <m/>
    <x v="0"/>
    <m/>
    <m/>
    <m/>
    <n v="1"/>
    <m/>
    <n v="615"/>
    <n v="0"/>
    <m/>
    <m/>
    <n v="15"/>
    <s v="Mammograms"/>
    <s v="HR"/>
    <m/>
    <m/>
  </r>
  <r>
    <s v="CSR 63"/>
    <s v="America"/>
    <x v="5"/>
    <s v="Honduras"/>
    <m/>
    <x v="0"/>
    <m/>
    <m/>
    <m/>
    <n v="1"/>
    <m/>
    <n v="387"/>
    <n v="0"/>
    <m/>
    <m/>
    <n v="20"/>
    <s v="units of blood"/>
    <s v="HR"/>
    <m/>
    <m/>
  </r>
  <r>
    <s v="CSR 64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5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6"/>
    <s v="America"/>
    <x v="5"/>
    <s v="Honduras"/>
    <m/>
    <x v="0"/>
    <m/>
    <m/>
    <m/>
    <n v="1"/>
    <m/>
    <n v="387"/>
    <n v="0"/>
    <m/>
    <m/>
    <n v="200"/>
    <s v="Chairs restores"/>
    <s v="HR"/>
    <m/>
    <m/>
  </r>
  <r>
    <s v="CSR 67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8"/>
    <s v="America"/>
    <x v="5"/>
    <s v="Honduras"/>
    <m/>
    <x v="0"/>
    <m/>
    <m/>
    <m/>
    <n v="1"/>
    <m/>
    <n v="387"/>
    <n v="0"/>
    <m/>
    <m/>
    <n v="94"/>
    <s v="Doses of Vaccines"/>
    <s v="HR"/>
    <m/>
    <m/>
  </r>
  <r>
    <s v="CSR 69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0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1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2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3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4"/>
    <s v="America"/>
    <x v="5"/>
    <s v="Juarez"/>
    <m/>
    <x v="0"/>
    <m/>
    <m/>
    <m/>
    <n v="1"/>
    <m/>
    <n v="387"/>
    <n v="0"/>
    <m/>
    <m/>
    <s v="NA"/>
    <s v="NA"/>
    <s v="HR"/>
    <m/>
    <m/>
  </r>
  <r>
    <s v="CSR 75"/>
    <s v="America"/>
    <x v="5"/>
    <s v="Juarez"/>
    <m/>
    <x v="0"/>
    <m/>
    <m/>
    <m/>
    <n v="1"/>
    <m/>
    <n v="870"/>
    <n v="0"/>
    <m/>
    <m/>
    <s v="NA"/>
    <s v="NA"/>
    <s v="HR"/>
    <m/>
    <m/>
  </r>
  <r>
    <s v="CSR 76"/>
    <s v="North Africa"/>
    <x v="6"/>
    <s v="Tunis"/>
    <m/>
    <x v="0"/>
    <m/>
    <m/>
    <m/>
    <n v="2"/>
    <m/>
    <n v="698"/>
    <n v="0"/>
    <m/>
    <m/>
    <n v="13"/>
    <s v="Women exposed"/>
    <s v="CSR Committe"/>
    <m/>
    <m/>
  </r>
  <r>
    <s v="CSR 77"/>
    <s v="North Africa"/>
    <x v="6"/>
    <s v="Tunis"/>
    <m/>
    <x v="0"/>
    <m/>
    <m/>
    <m/>
    <n v="1"/>
    <m/>
    <n v="698"/>
    <n v="0"/>
    <m/>
    <m/>
    <n v="24"/>
    <s v="childrens"/>
    <s v="HR"/>
    <m/>
    <m/>
  </r>
  <r>
    <s v="CSR 78"/>
    <s v="North Africa"/>
    <x v="6"/>
    <s v="Tunis"/>
    <m/>
    <x v="0"/>
    <m/>
    <m/>
    <m/>
    <n v="3"/>
    <m/>
    <n v="698"/>
    <n v="0"/>
    <m/>
    <m/>
    <n v="1600"/>
    <s v="Students "/>
    <s v="CSR Committe"/>
    <m/>
    <m/>
  </r>
  <r>
    <s v="CSR 79"/>
    <s v="North Africa"/>
    <x v="6"/>
    <s v="Tunis"/>
    <m/>
    <x v="0"/>
    <m/>
    <m/>
    <m/>
    <n v="1"/>
    <m/>
    <n v="698"/>
    <n v="0"/>
    <m/>
    <m/>
    <n v="224"/>
    <s v="KG of waste"/>
    <s v="CSR Committe"/>
    <m/>
    <m/>
  </r>
  <r>
    <s v="CSR 80"/>
    <s v="North Africa"/>
    <x v="6"/>
    <s v="Tunis"/>
    <m/>
    <x v="0"/>
    <m/>
    <m/>
    <m/>
    <n v="1"/>
    <m/>
    <n v="698"/>
    <n v="0"/>
    <m/>
    <m/>
    <n v="2"/>
    <s v="Classrooms built"/>
    <s v="HR"/>
    <m/>
    <m/>
  </r>
  <r>
    <s v="CSR 81"/>
    <s v="North Africa"/>
    <x v="6"/>
    <s v="Tunis"/>
    <m/>
    <x v="0"/>
    <m/>
    <m/>
    <m/>
    <n v="1"/>
    <m/>
    <n v="698"/>
    <n v="0"/>
    <m/>
    <m/>
    <n v="51"/>
    <s v="units of blood"/>
    <s v="HR"/>
    <m/>
    <m/>
  </r>
  <r>
    <s v="CSR 82"/>
    <s v="North Africa"/>
    <x v="6"/>
    <s v="Tunis"/>
    <m/>
    <x v="0"/>
    <m/>
    <m/>
    <m/>
    <n v="1"/>
    <m/>
    <n v="698"/>
    <n v="0"/>
    <m/>
    <m/>
    <n v="50"/>
    <s v="families in need"/>
    <s v="HR"/>
    <m/>
    <m/>
  </r>
  <r>
    <s v="CSR 83"/>
    <s v="North Africa"/>
    <x v="6"/>
    <s v="Tunis"/>
    <m/>
    <x v="0"/>
    <m/>
    <m/>
    <m/>
    <n v="1"/>
    <m/>
    <n v="698"/>
    <n v="0"/>
    <m/>
    <m/>
    <n v="430"/>
    <s v="Women benefited"/>
    <s v="CSR Committe"/>
    <m/>
    <m/>
  </r>
  <r>
    <s v="CSR 84"/>
    <s v="North Africa"/>
    <x v="6"/>
    <s v="Tunis"/>
    <m/>
    <x v="0"/>
    <m/>
    <m/>
    <m/>
    <n v="1"/>
    <m/>
    <n v="698"/>
    <n v="0"/>
    <m/>
    <m/>
    <n v="5000"/>
    <s v="Trees"/>
    <s v="CSR Committe"/>
    <m/>
    <m/>
  </r>
  <r>
    <s v="CSR 85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6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7"/>
    <s v="North Africa"/>
    <x v="6"/>
    <s v="Mdjez el beb"/>
    <m/>
    <x v="0"/>
    <m/>
    <m/>
    <m/>
    <n v="1"/>
    <m/>
    <n v="314"/>
    <n v="0"/>
    <m/>
    <m/>
    <n v="4"/>
    <s v="Textile Machines"/>
    <s v="HR"/>
    <m/>
    <m/>
  </r>
  <r>
    <s v="CSR 87"/>
    <s v="North Africa"/>
    <x v="6"/>
    <s v="Mdjez el beb"/>
    <m/>
    <x v="0"/>
    <m/>
    <m/>
    <m/>
    <n v="1"/>
    <m/>
    <n v="314"/>
    <n v="0"/>
    <m/>
    <m/>
    <n v="6"/>
    <s v="Small businesses"/>
    <s v="HR"/>
    <m/>
    <m/>
  </r>
  <r>
    <s v="CSR 88"/>
    <s v="North Africa"/>
    <x v="6"/>
    <s v="Mdjez el beb"/>
    <m/>
    <x v="0"/>
    <m/>
    <m/>
    <m/>
    <n v="1"/>
    <m/>
    <n v="314"/>
    <n v="0"/>
    <m/>
    <m/>
    <n v="5"/>
    <s v="Participants"/>
    <s v="HR"/>
    <m/>
    <m/>
  </r>
  <r>
    <s v="CSR 89"/>
    <s v="North Africa"/>
    <x v="6"/>
    <s v="Mdjez el beb"/>
    <m/>
    <x v="0"/>
    <m/>
    <m/>
    <m/>
    <n v="1"/>
    <m/>
    <n v="314"/>
    <n v="0"/>
    <m/>
    <m/>
    <n v="30"/>
    <s v="Children"/>
    <s v="HR"/>
    <m/>
    <m/>
  </r>
  <r>
    <s v="CSR 90"/>
    <s v="North Africa"/>
    <x v="6"/>
    <s v="Mdjez el beb"/>
    <m/>
    <x v="0"/>
    <m/>
    <m/>
    <m/>
    <n v="1"/>
    <m/>
    <n v="314"/>
    <n v="0"/>
    <m/>
    <m/>
    <n v="0"/>
    <n v="0"/>
    <s v="HR"/>
    <m/>
    <m/>
  </r>
  <r>
    <s v="CSR 91"/>
    <s v="North Africa"/>
    <x v="6"/>
    <s v="Mdjez el beb"/>
    <m/>
    <x v="0"/>
    <m/>
    <m/>
    <m/>
    <n v="1"/>
    <m/>
    <n v="314"/>
    <n v="0"/>
    <m/>
    <m/>
    <s v="NA"/>
    <s v="NA"/>
    <s v="EHS"/>
    <m/>
    <m/>
  </r>
  <r>
    <s v="CSR 92"/>
    <s v="North Africa"/>
    <x v="6"/>
    <s v="Mdjez el beb"/>
    <m/>
    <x v="0"/>
    <m/>
    <m/>
    <m/>
    <n v="1"/>
    <m/>
    <n v="314"/>
    <n v="0"/>
    <m/>
    <m/>
    <n v="100"/>
    <s v="citizens"/>
    <s v="HR"/>
    <m/>
    <m/>
  </r>
  <r>
    <s v="CSR 93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n v="2500"/>
    <s v="Trees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5"/>
    <s v="North Africa"/>
    <x v="7"/>
    <s v="Tangier"/>
    <m/>
    <x v="0"/>
    <m/>
    <m/>
    <m/>
    <n v="1"/>
    <m/>
    <n v="516"/>
    <n v="0"/>
    <m/>
    <m/>
    <n v="10"/>
    <s v="Students participated"/>
    <s v="CSR Committe"/>
    <m/>
    <m/>
  </r>
  <r>
    <s v="CSR 96"/>
    <s v="North Africa"/>
    <x v="7"/>
    <s v="Tangier"/>
    <m/>
    <x v="0"/>
    <m/>
    <m/>
    <m/>
    <n v="1"/>
    <m/>
    <n v="516"/>
    <n v="0"/>
    <m/>
    <m/>
    <n v="62"/>
    <s v="blood bags"/>
    <s v="CSR Committe"/>
    <m/>
    <m/>
  </r>
  <r>
    <s v="CSR 97"/>
    <s v="North Africa"/>
    <x v="7"/>
    <s v="Tangier"/>
    <m/>
    <x v="0"/>
    <m/>
    <m/>
    <m/>
    <n v="1"/>
    <m/>
    <n v="516"/>
    <n v="0"/>
    <m/>
    <m/>
    <s v="700 Kg"/>
    <s v="Waste collected"/>
    <s v="CSR Committe"/>
    <m/>
    <m/>
  </r>
  <r>
    <s v="CSR 98"/>
    <s v="North Africa"/>
    <x v="7"/>
    <s v="Tangier"/>
    <m/>
    <x v="0"/>
    <m/>
    <m/>
    <m/>
    <n v="1"/>
    <m/>
    <n v="516"/>
    <n v="0"/>
    <m/>
    <m/>
    <n v="72"/>
    <s v="Women benefited"/>
    <s v="CSR Committe"/>
    <m/>
    <m/>
  </r>
  <r>
    <s v="CSR 99"/>
    <s v="North Africa"/>
    <x v="7"/>
    <s v="Tangier"/>
    <m/>
    <x v="0"/>
    <m/>
    <m/>
    <m/>
    <n v="1"/>
    <m/>
    <n v="516"/>
    <n v="0"/>
    <m/>
    <m/>
    <n v="3"/>
    <s v="Small businesses"/>
    <s v="CSR Committe"/>
    <m/>
    <m/>
  </r>
  <r>
    <s v="CSR 100"/>
    <s v="North Africa"/>
    <x v="7"/>
    <s v="Tangier"/>
    <m/>
    <x v="0"/>
    <m/>
    <m/>
    <m/>
    <n v="1"/>
    <m/>
    <n v="516"/>
    <n v="0"/>
    <m/>
    <m/>
    <n v="17"/>
    <s v="children"/>
    <s v="CSR Committe"/>
    <m/>
    <m/>
  </r>
  <r>
    <s v="CSR 101"/>
    <s v="North Africa"/>
    <x v="7"/>
    <s v="Kenitra"/>
    <m/>
    <x v="0"/>
    <m/>
    <m/>
    <m/>
    <n v="1"/>
    <m/>
    <n v="506"/>
    <n v="0"/>
    <m/>
    <m/>
    <n v="10"/>
    <s v="Students participated"/>
    <s v="CSR Committe"/>
    <m/>
    <m/>
  </r>
  <r>
    <s v="CSR 102"/>
    <s v="North Africa"/>
    <x v="7"/>
    <s v="Kenitra"/>
    <m/>
    <x v="0"/>
    <m/>
    <m/>
    <m/>
    <n v="1"/>
    <m/>
    <n v="506"/>
    <n v="0"/>
    <m/>
    <m/>
    <n v="65"/>
    <s v="Women"/>
    <s v="HR/COM"/>
    <m/>
    <m/>
  </r>
  <r>
    <s v="CSR 103"/>
    <s v="North Africa"/>
    <x v="7"/>
    <s v="Kenitra"/>
    <m/>
    <x v="0"/>
    <m/>
    <m/>
    <m/>
    <n v="1"/>
    <m/>
    <n v="506"/>
    <n v="0"/>
    <m/>
    <m/>
    <n v="3"/>
    <s v="Women Cooperatives"/>
    <s v="HR/COM"/>
    <m/>
    <m/>
  </r>
  <r>
    <s v="CSR 104"/>
    <s v="North Africa"/>
    <x v="7"/>
    <s v="Kenitra"/>
    <m/>
    <x v="0"/>
    <m/>
    <m/>
    <m/>
    <n v="1"/>
    <m/>
    <n v="506"/>
    <n v="0"/>
    <m/>
    <m/>
    <n v="2"/>
    <s v="Families in need"/>
    <s v="HR/COM"/>
    <m/>
    <m/>
  </r>
  <r>
    <s v="CSR 105"/>
    <s v="North Africa"/>
    <x v="7"/>
    <s v="Kenitra"/>
    <m/>
    <x v="0"/>
    <m/>
    <m/>
    <m/>
    <n v="1"/>
    <m/>
    <n v="506"/>
    <n v="0"/>
    <m/>
    <m/>
    <n v="220"/>
    <s v="Students"/>
    <s v="HR/COM"/>
    <m/>
    <m/>
  </r>
  <r>
    <s v="CSR 106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7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8"/>
    <s v="North Africa"/>
    <x v="7"/>
    <s v="Kenitra"/>
    <m/>
    <x v="0"/>
    <m/>
    <m/>
    <m/>
    <n v="1"/>
    <m/>
    <n v="506"/>
    <n v="0"/>
    <m/>
    <m/>
    <n v="3"/>
    <s v="blood bags"/>
    <s v="HR/COM"/>
    <m/>
    <m/>
  </r>
  <r>
    <s v="Total"/>
    <m/>
    <x v="0"/>
    <m/>
    <m/>
    <x v="6"/>
    <m/>
    <m/>
    <m/>
    <m/>
    <n v="1275"/>
    <m/>
    <n v="0.0370728379497411"/>
    <n v="0"/>
    <n v="7277"/>
    <m/>
    <m/>
    <m/>
    <n v="13"/>
    <m/>
  </r>
  <r>
    <m/>
    <m/>
    <x v="0"/>
    <m/>
    <s v="113 CSR Actions Globally"/>
    <x v="3"/>
    <s v="4 Actions"/>
    <m/>
    <n v="0.03539823008849557"/>
    <m/>
    <m/>
    <m/>
    <m/>
    <m/>
    <m/>
    <m/>
    <m/>
    <m/>
    <m/>
    <m/>
  </r>
  <r>
    <m/>
    <m/>
    <x v="0"/>
    <m/>
    <m/>
    <x v="4"/>
    <s v="2 Actions"/>
    <m/>
    <n v="0.01769911504424779"/>
    <m/>
    <m/>
    <m/>
    <m/>
    <m/>
    <m/>
    <m/>
    <m/>
    <m/>
    <m/>
    <m/>
  </r>
  <r>
    <m/>
    <m/>
    <x v="0"/>
    <m/>
    <m/>
    <x v="5"/>
    <s v="3 Actions"/>
    <m/>
    <n v="0.02654867256637168"/>
    <m/>
    <m/>
    <m/>
    <m/>
    <m/>
    <m/>
    <m/>
    <m/>
    <m/>
    <m/>
    <m/>
  </r>
  <r>
    <m/>
    <m/>
    <x v="0"/>
    <m/>
    <m/>
    <x v="2"/>
    <s v="2 Actions"/>
    <m/>
    <n v="0.01769911504424779"/>
    <m/>
    <m/>
    <m/>
    <m/>
    <m/>
    <m/>
    <m/>
    <m/>
    <m/>
    <m/>
    <m/>
  </r>
  <r>
    <m/>
    <m/>
    <x v="0"/>
    <m/>
    <m/>
    <x v="1"/>
    <s v="4 Actions"/>
    <m/>
    <n v="0.03539823008849557"/>
    <m/>
    <m/>
    <m/>
    <m/>
    <m/>
    <m/>
    <m/>
    <m/>
    <m/>
    <m/>
    <m/>
  </r>
  <r>
    <m/>
    <m/>
    <x v="0"/>
    <m/>
    <m/>
    <x v="7"/>
    <s v="0 Actions"/>
    <m/>
    <n v="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127">
  <r>
    <m/>
    <m/>
    <x v="0"/>
    <m/>
    <m/>
    <x v="0"/>
    <m/>
    <m/>
    <m/>
    <m/>
    <m/>
    <m/>
    <m/>
    <m/>
    <m/>
    <m/>
    <m/>
    <m/>
    <m/>
    <m/>
  </r>
  <r>
    <s v="CSR 1"/>
    <s v="EE"/>
    <x v="1"/>
    <s v="Serbia"/>
    <s v="Donation for “Be Human” foundation "/>
    <x v="1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s v="Serbia"/>
    <s v="Donation – the Womens Association „Kraljevčanke“"/>
    <x v="1"/>
    <s v="Charity/Donation"/>
    <m/>
    <n v="2024"/>
    <n v="1"/>
    <n v="2"/>
    <n v="307"/>
    <n v="0.006514657980456026"/>
    <m/>
    <n v="170"/>
    <s v="NA"/>
    <s v="NA"/>
    <s v="HR"/>
    <s v="Women’s Association „Kraljevčanke“ from Kraljevc"/>
    <n v="1"/>
  </r>
  <r>
    <s v="CSR 3"/>
    <s v="EE"/>
    <x v="1"/>
    <s v="Serbia"/>
    <s v="Donation- Technical School "/>
    <x v="2"/>
    <s v="Charity/Donation"/>
    <m/>
    <n v="2022"/>
    <n v="3"/>
    <n v="3"/>
    <n v="307"/>
    <n v="0.009771986970684038"/>
    <m/>
    <n v="475"/>
    <n v="160"/>
    <s v="Sports wear"/>
    <s v="HR"/>
    <s v="Technical School Stara Pazova "/>
    <n v="1"/>
  </r>
  <r>
    <s v="CSR 4"/>
    <s v="EE"/>
    <x v="1"/>
    <s v="Serbia"/>
    <s v="Donation- Svratište "/>
    <x v="1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s v="Serbia"/>
    <s v="World Environment day- planting trees and cleaning action"/>
    <x v="3"/>
    <s v="Partnership"/>
    <m/>
    <n v="2024"/>
    <n v="1"/>
    <n v="20"/>
    <n v="307"/>
    <n v="0.06514657980456026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s v="Serbia"/>
    <s v="Donating cables – „Road Arrow„"/>
    <x v="4"/>
    <s v="Sponsorship"/>
    <m/>
    <n v="2024"/>
    <n v="1"/>
    <n v="3"/>
    <n v="307"/>
    <n v="0.009771986970684038"/>
    <m/>
    <n v="200"/>
    <s v="NA"/>
    <s v="Cables"/>
    <s v="HR"/>
    <s v="Serbian Formula Student team „ Road Arrow"/>
    <n v="1"/>
  </r>
  <r>
    <s v="CSR 7"/>
    <s v="EE"/>
    <x v="1"/>
    <s v="Serbia"/>
    <s v="Air conditioners donation- Golubinci school"/>
    <x v="4"/>
    <s v="Charity/Donation"/>
    <m/>
    <n v="2022"/>
    <n v="2"/>
    <n v="5"/>
    <n v="307"/>
    <n v="0.01628664495114007"/>
    <m/>
    <n v="1330"/>
    <n v="4"/>
    <s v="Air conditioners"/>
    <s v="HR"/>
    <s v="elementary school &quot;23. oktobar"/>
    <n v="1"/>
  </r>
  <r>
    <s v="CSR 8"/>
    <s v="EE"/>
    <x v="1"/>
    <s v="Serbia"/>
    <s v="Donation- Drop-in shelter center"/>
    <x v="1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s v="Serbia"/>
    <s v="Pink October"/>
    <x v="5"/>
    <s v="Sponsorship"/>
    <m/>
    <n v="2024"/>
    <n v="1"/>
    <n v="1"/>
    <n v="307"/>
    <n v="0.003257328990228013"/>
    <m/>
    <n v="1307"/>
    <n v="50"/>
    <s v="Free breast examinations"/>
    <s v="HR"/>
    <s v="health institute &quot;Medica Nova"/>
    <n v="1"/>
  </r>
  <r>
    <s v="CSR 10"/>
    <s v="EE"/>
    <x v="1"/>
    <s v="Serbia"/>
    <s v="Blood Donation"/>
    <x v="5"/>
    <s v="Charity/Donation"/>
    <m/>
    <n v="2023"/>
    <n v="2"/>
    <n v="10"/>
    <n v="307"/>
    <n v="0.03257328990228013"/>
    <m/>
    <n v="285"/>
    <n v="50"/>
    <s v="blood bags"/>
    <s v="HR"/>
    <s v="Blood Transfusion Institute Serbia"/>
    <n v="1"/>
  </r>
  <r>
    <s v="CSR 11"/>
    <s v="EE"/>
    <x v="1"/>
    <s v="Serbia"/>
    <s v="Battery recycling"/>
    <x v="3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s v="Serbia"/>
    <s v="Cap for handicap"/>
    <x v="3"/>
    <s v="Others"/>
    <m/>
    <n v="2023"/>
    <n v="2"/>
    <n v="250"/>
    <n v="307"/>
    <n v="0.8143322475570033"/>
    <m/>
    <n v="0"/>
    <n v="30"/>
    <s v="Kg of plastic caps"/>
    <s v="HR/EHS"/>
    <s v="NA"/>
    <n v="0"/>
  </r>
  <r>
    <s v="CSR 13"/>
    <s v="EE"/>
    <x v="2"/>
    <s v="Ploeisti"/>
    <s v="Anti-drug awareness campaigns in Coficab"/>
    <x v="5"/>
    <s v="Others"/>
    <m/>
    <n v="2024"/>
    <n v="1"/>
    <n v="66"/>
    <n v="307"/>
    <n v="0.2149837133550489"/>
    <m/>
    <n v="0"/>
    <n v="0"/>
    <s v="NA"/>
    <s v="HR/EHS"/>
    <s v="NA"/>
    <n v="0"/>
  </r>
  <r>
    <s v="CSR 14"/>
    <s v="EE"/>
    <x v="2"/>
    <s v="Ploeisti"/>
    <s v="Donating equipment to a sports club for children"/>
    <x v="2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s v="Ploeisti"/>
    <s v="Rehabilitation of a playground for an educational facility in an educational institution"/>
    <x v="3"/>
    <s v="Partnership"/>
    <m/>
    <n v="2024"/>
    <n v="1"/>
    <n v="15"/>
    <n v="313"/>
    <n v="0.04792332268370607"/>
    <m/>
    <n v="1500"/>
    <s v="NA"/>
    <s v="Cables"/>
    <s v="HR"/>
    <m/>
    <m/>
  </r>
  <r>
    <s v="CSR 16"/>
    <s v="EE"/>
    <x v="2"/>
    <s v="Ploeisti"/>
    <m/>
    <x v="0"/>
    <m/>
    <m/>
    <m/>
    <n v="1"/>
    <m/>
    <n v="313"/>
    <n v="0"/>
    <m/>
    <m/>
    <s v="NA"/>
    <s v="Clothing"/>
    <s v="HR"/>
    <m/>
    <m/>
  </r>
  <r>
    <s v="CSR 17"/>
    <s v="EE"/>
    <x v="2"/>
    <s v="Ploeisti"/>
    <m/>
    <x v="0"/>
    <m/>
    <m/>
    <m/>
    <n v="1"/>
    <m/>
    <n v="313"/>
    <n v="0"/>
    <m/>
    <m/>
    <s v="NA "/>
    <s v="NA"/>
    <s v="HR"/>
    <m/>
    <m/>
  </r>
  <r>
    <s v="CSR 18"/>
    <s v="EE"/>
    <x v="2"/>
    <s v="Ploeisti"/>
    <m/>
    <x v="0"/>
    <m/>
    <m/>
    <m/>
    <n v="1"/>
    <m/>
    <n v="313"/>
    <n v="0"/>
    <m/>
    <m/>
    <n v="200"/>
    <s v="Trees"/>
    <s v="EHS"/>
    <m/>
    <m/>
  </r>
  <r>
    <s v="CSR 19"/>
    <s v="EE"/>
    <x v="2"/>
    <s v="Romania"/>
    <m/>
    <x v="0"/>
    <m/>
    <m/>
    <m/>
    <n v="1"/>
    <m/>
    <n v="411"/>
    <n v="0"/>
    <m/>
    <m/>
    <s v="NA"/>
    <s v="NA"/>
    <s v="HR"/>
    <m/>
    <m/>
  </r>
  <r>
    <s v="CSR 20"/>
    <s v="EE"/>
    <x v="2"/>
    <s v="Romania"/>
    <m/>
    <x v="0"/>
    <m/>
    <m/>
    <m/>
    <n v="1"/>
    <m/>
    <n v="411"/>
    <n v="0"/>
    <m/>
    <m/>
    <s v="NA"/>
    <s v="NA"/>
    <s v="HR"/>
    <m/>
    <m/>
  </r>
  <r>
    <s v="CSR 21"/>
    <s v="EE"/>
    <x v="2"/>
    <s v="Romania"/>
    <m/>
    <x v="0"/>
    <m/>
    <m/>
    <m/>
    <n v="1"/>
    <m/>
    <n v="411"/>
    <n v="0"/>
    <m/>
    <m/>
    <s v="NA"/>
    <s v="NA"/>
    <s v="HR"/>
    <m/>
    <m/>
  </r>
  <r>
    <s v="CSR 22"/>
    <s v="EE"/>
    <x v="2"/>
    <s v="Romania"/>
    <m/>
    <x v="0"/>
    <m/>
    <m/>
    <m/>
    <n v="1"/>
    <m/>
    <n v="411"/>
    <n v="0"/>
    <m/>
    <m/>
    <n v="10"/>
    <s v="Bags of clothes"/>
    <s v="HR"/>
    <m/>
    <m/>
  </r>
  <r>
    <s v="CSR 23"/>
    <s v="EE"/>
    <x v="2"/>
    <s v="Romania"/>
    <m/>
    <x v="0"/>
    <m/>
    <m/>
    <m/>
    <n v="1"/>
    <m/>
    <n v="411"/>
    <n v="0"/>
    <m/>
    <m/>
    <s v="NA"/>
    <s v="NA"/>
    <s v="HR"/>
    <m/>
    <m/>
  </r>
  <r>
    <s v="CSR 24"/>
    <s v="EE"/>
    <x v="2"/>
    <s v="Romania"/>
    <m/>
    <x v="0"/>
    <m/>
    <m/>
    <m/>
    <n v="1"/>
    <m/>
    <n v="411"/>
    <n v="0"/>
    <m/>
    <m/>
    <s v="NA"/>
    <s v="NA"/>
    <s v="EHS"/>
    <m/>
    <m/>
  </r>
  <r>
    <s v="CSR 25"/>
    <s v="EE"/>
    <x v="2"/>
    <s v="Romania"/>
    <m/>
    <x v="0"/>
    <m/>
    <m/>
    <m/>
    <n v="1"/>
    <m/>
    <n v="411"/>
    <n v="0"/>
    <m/>
    <m/>
    <s v="NA"/>
    <s v="NA"/>
    <s v="EHS"/>
    <m/>
    <m/>
  </r>
  <r>
    <s v="CSR 26"/>
    <s v="EE"/>
    <x v="2"/>
    <s v="Romania"/>
    <m/>
    <x v="0"/>
    <m/>
    <m/>
    <m/>
    <n v="1"/>
    <m/>
    <n v="411"/>
    <n v="0"/>
    <m/>
    <m/>
    <n v="174"/>
    <s v="Trees"/>
    <s v="EHS"/>
    <m/>
    <m/>
  </r>
  <r>
    <s v="CSR 27"/>
    <s v="EE"/>
    <x v="2"/>
    <s v="Romania"/>
    <m/>
    <x v="0"/>
    <m/>
    <m/>
    <m/>
    <n v="1"/>
    <m/>
    <n v="411"/>
    <n v="0"/>
    <m/>
    <m/>
    <s v="NA"/>
    <s v="NA"/>
    <s v="HR"/>
    <m/>
    <m/>
  </r>
  <r>
    <s v="CSR 28"/>
    <s v="ASIA"/>
    <x v="3"/>
    <s v="Tianjin"/>
    <m/>
    <x v="0"/>
    <m/>
    <m/>
    <m/>
    <n v="1"/>
    <m/>
    <n v="314"/>
    <n v="0"/>
    <m/>
    <m/>
    <s v="NA"/>
    <s v="NA"/>
    <s v="HR"/>
    <m/>
    <m/>
  </r>
  <r>
    <s v="CSR 29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0"/>
    <s v="ASIA"/>
    <x v="3"/>
    <s v="Tianjin"/>
    <m/>
    <x v="0"/>
    <m/>
    <m/>
    <m/>
    <n v="1"/>
    <m/>
    <n v="314"/>
    <n v="0"/>
    <m/>
    <m/>
    <s v="NA"/>
    <s v="NA"/>
    <s v="HR"/>
    <m/>
    <m/>
  </r>
  <r>
    <s v="CSR 31"/>
    <s v="ASIA"/>
    <x v="3"/>
    <s v="Tianjin"/>
    <m/>
    <x v="0"/>
    <m/>
    <m/>
    <m/>
    <n v="1"/>
    <m/>
    <n v="314"/>
    <n v="0"/>
    <m/>
    <m/>
    <s v="NA"/>
    <s v="NA"/>
    <s v="EHS"/>
    <m/>
    <m/>
  </r>
  <r>
    <s v="CSR 32"/>
    <s v="ASIA"/>
    <x v="3"/>
    <s v="Tianjin"/>
    <m/>
    <x v="0"/>
    <m/>
    <m/>
    <m/>
    <n v="1"/>
    <m/>
    <n v="314"/>
    <n v="0"/>
    <m/>
    <m/>
    <s v="NA "/>
    <s v="Wheelchairs"/>
    <s v="HR"/>
    <m/>
    <m/>
  </r>
  <r>
    <s v="CSR 33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4"/>
    <s v="ASIA"/>
    <x v="3"/>
    <s v="Tianjin"/>
    <m/>
    <x v="0"/>
    <m/>
    <m/>
    <m/>
    <n v="1"/>
    <m/>
    <n v="314"/>
    <n v="0"/>
    <m/>
    <m/>
    <s v="NA"/>
    <s v="NA"/>
    <s v="EHS"/>
    <m/>
    <m/>
  </r>
  <r>
    <s v="CSR 35"/>
    <s v="ASIA"/>
    <x v="3"/>
    <s v="Tianjin"/>
    <m/>
    <x v="0"/>
    <m/>
    <m/>
    <m/>
    <n v="1"/>
    <m/>
    <n v="314"/>
    <n v="0"/>
    <m/>
    <m/>
    <s v="NA"/>
    <s v="NA"/>
    <s v="EHS"/>
    <m/>
    <m/>
  </r>
  <r>
    <s v="CSR 36"/>
    <s v="western Europe"/>
    <x v="4"/>
    <s v="Guarda"/>
    <m/>
    <x v="0"/>
    <m/>
    <m/>
    <m/>
    <n v="1"/>
    <m/>
    <n v="910"/>
    <n v="0"/>
    <m/>
    <m/>
    <n v="150"/>
    <s v="Student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7"/>
    <s v="western Europe"/>
    <x v="4"/>
    <s v="Guarda"/>
    <m/>
    <x v="0"/>
    <m/>
    <m/>
    <m/>
    <n v="7"/>
    <m/>
    <n v="910"/>
    <n v="0"/>
    <m/>
    <m/>
    <s v="NA"/>
    <s v="Cabl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8"/>
    <s v="western Europe"/>
    <x v="4"/>
    <s v="Guarda"/>
    <m/>
    <x v="0"/>
    <m/>
    <m/>
    <m/>
    <n v="3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9"/>
    <s v="western Europe"/>
    <x v="4"/>
    <s v="Guarda"/>
    <m/>
    <x v="0"/>
    <m/>
    <m/>
    <m/>
    <n v="2"/>
    <m/>
    <n v="910"/>
    <n v="0"/>
    <m/>
    <m/>
    <n v="2100"/>
    <s v="Tre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40"/>
    <s v="western Europe"/>
    <x v="4"/>
    <s v="Guarda"/>
    <m/>
    <x v="0"/>
    <m/>
    <m/>
    <m/>
    <n v="2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1"/>
    <s v="western Europe"/>
    <x v="4"/>
    <s v="Guarda"/>
    <m/>
    <x v="0"/>
    <m/>
    <m/>
    <m/>
    <n v="3"/>
    <m/>
    <n v="910"/>
    <n v="0"/>
    <m/>
    <m/>
    <s v="NA"/>
    <s v="NA"/>
    <s v="EHS/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2"/>
    <s v="America"/>
    <x v="5"/>
    <s v="Durrango"/>
    <m/>
    <x v="0"/>
    <m/>
    <m/>
    <m/>
    <n v="4"/>
    <m/>
    <n v="801"/>
    <n v="0"/>
    <m/>
    <m/>
    <s v="NA"/>
    <s v="NA"/>
    <s v="HR"/>
    <m/>
    <m/>
  </r>
  <r>
    <s v="CSR 43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4"/>
    <s v="America"/>
    <x v="5"/>
    <s v="Durrango"/>
    <m/>
    <x v="0"/>
    <m/>
    <m/>
    <m/>
    <n v="1"/>
    <m/>
    <n v="801"/>
    <m/>
    <m/>
    <m/>
    <s v="NA"/>
    <s v="NA"/>
    <s v="HR"/>
    <m/>
    <m/>
  </r>
  <r>
    <s v="CSR 45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6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7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8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9"/>
    <s v="America"/>
    <x v="5"/>
    <s v="Durrango"/>
    <m/>
    <x v="0"/>
    <m/>
    <m/>
    <m/>
    <n v="1"/>
    <m/>
    <n v="801"/>
    <n v="0"/>
    <m/>
    <m/>
    <n v="100"/>
    <s v="Person impacted"/>
    <s v="HR"/>
    <m/>
    <m/>
  </r>
  <r>
    <s v="CSR 50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1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2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3"/>
    <s v="America"/>
    <x v="5"/>
    <s v="Léon"/>
    <m/>
    <x v="0"/>
    <m/>
    <m/>
    <m/>
    <n v="1"/>
    <m/>
    <n v="615"/>
    <n v="0"/>
    <m/>
    <m/>
    <s v="NA"/>
    <s v="NA"/>
    <s v="HR"/>
    <m/>
    <m/>
  </r>
  <r>
    <s v="CSR 54"/>
    <s v="America"/>
    <x v="5"/>
    <s v="Léon"/>
    <m/>
    <x v="0"/>
    <m/>
    <m/>
    <m/>
    <n v="1"/>
    <m/>
    <n v="615"/>
    <n v="0"/>
    <m/>
    <m/>
    <s v="NA"/>
    <s v="Bottle Caps"/>
    <s v="HR"/>
    <m/>
    <m/>
  </r>
  <r>
    <s v="CSR 55"/>
    <s v="America"/>
    <x v="5"/>
    <s v="Léon"/>
    <m/>
    <x v="0"/>
    <m/>
    <m/>
    <m/>
    <n v="1"/>
    <m/>
    <n v="615"/>
    <n v="0"/>
    <m/>
    <m/>
    <n v="200"/>
    <s v="Trees"/>
    <s v="HR"/>
    <m/>
    <m/>
  </r>
  <r>
    <s v="CSR 56"/>
    <s v="America"/>
    <x v="5"/>
    <s v="Léon"/>
    <m/>
    <x v="0"/>
    <m/>
    <m/>
    <m/>
    <n v="1"/>
    <m/>
    <n v="615"/>
    <n v="0"/>
    <m/>
    <m/>
    <s v="NA"/>
    <s v="NA"/>
    <s v="HR"/>
    <m/>
    <m/>
  </r>
  <r>
    <s v="CSR 57"/>
    <s v="America"/>
    <x v="5"/>
    <s v="Léon"/>
    <m/>
    <x v="0"/>
    <m/>
    <m/>
    <m/>
    <n v="1"/>
    <m/>
    <n v="615"/>
    <n v="0"/>
    <m/>
    <m/>
    <n v="100"/>
    <s v="Electronic equipment"/>
    <s v="HR"/>
    <m/>
    <m/>
  </r>
  <r>
    <s v="CSR 58"/>
    <s v="America"/>
    <x v="5"/>
    <s v="Léon"/>
    <m/>
    <x v="0"/>
    <m/>
    <m/>
    <m/>
    <n v="1"/>
    <m/>
    <n v="615"/>
    <n v="0"/>
    <m/>
    <m/>
    <s v="NA"/>
    <s v="NA"/>
    <s v="HR"/>
    <m/>
    <m/>
  </r>
  <r>
    <s v="CSR 59"/>
    <s v="America"/>
    <x v="5"/>
    <s v="Léon"/>
    <m/>
    <x v="0"/>
    <m/>
    <m/>
    <m/>
    <n v="1"/>
    <m/>
    <n v="615"/>
    <n v="0"/>
    <m/>
    <m/>
    <n v="25"/>
    <s v="units of blood"/>
    <s v="HR"/>
    <m/>
    <m/>
  </r>
  <r>
    <s v="CSR 60"/>
    <s v="America"/>
    <x v="5"/>
    <s v="Léon"/>
    <m/>
    <x v="0"/>
    <m/>
    <m/>
    <m/>
    <n v="1"/>
    <m/>
    <n v="615"/>
    <n v="0"/>
    <m/>
    <m/>
    <s v="NA"/>
    <s v="NA"/>
    <s v="HR"/>
    <m/>
    <m/>
  </r>
  <r>
    <s v="CSR 61"/>
    <s v="America"/>
    <x v="5"/>
    <s v="Léon"/>
    <m/>
    <x v="0"/>
    <m/>
    <m/>
    <m/>
    <n v="1"/>
    <m/>
    <n v="615"/>
    <n v="0"/>
    <m/>
    <m/>
    <n v="20"/>
    <s v="books"/>
    <s v="HR"/>
    <m/>
    <m/>
  </r>
  <r>
    <s v="CSR 62"/>
    <s v="America"/>
    <x v="5"/>
    <s v="Léon"/>
    <m/>
    <x v="0"/>
    <m/>
    <m/>
    <m/>
    <n v="1"/>
    <m/>
    <n v="615"/>
    <n v="0"/>
    <m/>
    <m/>
    <n v="15"/>
    <s v="Mammograms"/>
    <s v="HR"/>
    <m/>
    <m/>
  </r>
  <r>
    <s v="CSR 63"/>
    <s v="America"/>
    <x v="5"/>
    <s v="Honduras"/>
    <m/>
    <x v="0"/>
    <m/>
    <m/>
    <m/>
    <n v="1"/>
    <m/>
    <n v="387"/>
    <n v="0"/>
    <m/>
    <m/>
    <n v="20"/>
    <s v="units of blood"/>
    <s v="HR"/>
    <m/>
    <m/>
  </r>
  <r>
    <s v="CSR 64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5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6"/>
    <s v="America"/>
    <x v="5"/>
    <s v="Honduras"/>
    <m/>
    <x v="0"/>
    <m/>
    <m/>
    <m/>
    <n v="1"/>
    <m/>
    <n v="387"/>
    <n v="0"/>
    <m/>
    <m/>
    <n v="200"/>
    <s v="Chairs restores"/>
    <s v="HR"/>
    <m/>
    <m/>
  </r>
  <r>
    <s v="CSR 67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8"/>
    <s v="America"/>
    <x v="5"/>
    <s v="Honduras"/>
    <m/>
    <x v="0"/>
    <m/>
    <m/>
    <m/>
    <n v="1"/>
    <m/>
    <n v="387"/>
    <n v="0"/>
    <m/>
    <m/>
    <n v="94"/>
    <s v="Doses of Vaccines"/>
    <s v="HR"/>
    <m/>
    <m/>
  </r>
  <r>
    <s v="CSR 69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0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1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2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3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4"/>
    <s v="America"/>
    <x v="5"/>
    <s v="Juarez"/>
    <m/>
    <x v="0"/>
    <m/>
    <m/>
    <m/>
    <n v="1"/>
    <m/>
    <n v="387"/>
    <n v="0"/>
    <m/>
    <m/>
    <s v="NA"/>
    <s v="NA"/>
    <s v="HR"/>
    <m/>
    <m/>
  </r>
  <r>
    <s v="CSR 75"/>
    <s v="America"/>
    <x v="5"/>
    <s v="Juarez"/>
    <m/>
    <x v="0"/>
    <m/>
    <m/>
    <m/>
    <n v="1"/>
    <m/>
    <n v="870"/>
    <n v="0"/>
    <m/>
    <m/>
    <s v="NA"/>
    <s v="NA"/>
    <s v="HR"/>
    <m/>
    <m/>
  </r>
  <r>
    <s v="CSR 76"/>
    <s v="North Africa"/>
    <x v="6"/>
    <s v="Tunis"/>
    <m/>
    <x v="0"/>
    <m/>
    <m/>
    <m/>
    <n v="2"/>
    <m/>
    <n v="698"/>
    <n v="0"/>
    <m/>
    <m/>
    <n v="13"/>
    <s v="Women exposed"/>
    <s v="CSR Committe"/>
    <m/>
    <m/>
  </r>
  <r>
    <s v="CSR 77"/>
    <s v="North Africa"/>
    <x v="6"/>
    <s v="Tunis"/>
    <m/>
    <x v="0"/>
    <m/>
    <m/>
    <m/>
    <n v="1"/>
    <m/>
    <n v="698"/>
    <n v="0"/>
    <m/>
    <m/>
    <n v="24"/>
    <s v="childrens"/>
    <s v="HR"/>
    <m/>
    <m/>
  </r>
  <r>
    <s v="CSR 78"/>
    <s v="North Africa"/>
    <x v="6"/>
    <s v="Tunis"/>
    <m/>
    <x v="0"/>
    <m/>
    <m/>
    <m/>
    <n v="3"/>
    <m/>
    <n v="698"/>
    <n v="0"/>
    <m/>
    <m/>
    <n v="1600"/>
    <s v="Students "/>
    <s v="CSR Committe"/>
    <m/>
    <m/>
  </r>
  <r>
    <s v="CSR 79"/>
    <s v="North Africa"/>
    <x v="6"/>
    <s v="Tunis"/>
    <m/>
    <x v="0"/>
    <m/>
    <m/>
    <m/>
    <n v="1"/>
    <m/>
    <n v="698"/>
    <n v="0"/>
    <m/>
    <m/>
    <n v="224"/>
    <s v="KG of waste"/>
    <s v="CSR Committe"/>
    <m/>
    <m/>
  </r>
  <r>
    <s v="CSR 80"/>
    <s v="North Africa"/>
    <x v="6"/>
    <s v="Tunis"/>
    <m/>
    <x v="0"/>
    <m/>
    <m/>
    <m/>
    <n v="1"/>
    <m/>
    <n v="698"/>
    <n v="0"/>
    <m/>
    <m/>
    <n v="2"/>
    <s v="Classrooms built"/>
    <s v="HR"/>
    <m/>
    <m/>
  </r>
  <r>
    <s v="CSR 81"/>
    <s v="North Africa"/>
    <x v="6"/>
    <s v="Tunis"/>
    <m/>
    <x v="0"/>
    <m/>
    <m/>
    <m/>
    <n v="1"/>
    <m/>
    <n v="698"/>
    <n v="0"/>
    <m/>
    <m/>
    <n v="51"/>
    <s v="units of blood"/>
    <s v="HR"/>
    <m/>
    <m/>
  </r>
  <r>
    <s v="CSR 82"/>
    <s v="North Africa"/>
    <x v="6"/>
    <s v="Tunis"/>
    <m/>
    <x v="0"/>
    <m/>
    <m/>
    <m/>
    <n v="1"/>
    <m/>
    <n v="698"/>
    <n v="0"/>
    <m/>
    <m/>
    <n v="50"/>
    <s v="families in need"/>
    <s v="HR"/>
    <m/>
    <m/>
  </r>
  <r>
    <s v="CSR 83"/>
    <s v="North Africa"/>
    <x v="6"/>
    <s v="Tunis"/>
    <m/>
    <x v="0"/>
    <m/>
    <m/>
    <m/>
    <n v="1"/>
    <m/>
    <n v="698"/>
    <n v="0"/>
    <m/>
    <m/>
    <n v="430"/>
    <s v="Women benefited"/>
    <s v="CSR Committe"/>
    <m/>
    <m/>
  </r>
  <r>
    <s v="CSR 84"/>
    <s v="North Africa"/>
    <x v="6"/>
    <s v="Tunis"/>
    <m/>
    <x v="0"/>
    <m/>
    <m/>
    <m/>
    <n v="1"/>
    <m/>
    <n v="698"/>
    <n v="0"/>
    <m/>
    <m/>
    <n v="5000"/>
    <s v="Trees"/>
    <s v="CSR Committe"/>
    <m/>
    <m/>
  </r>
  <r>
    <s v="CSR 85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6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7"/>
    <s v="North Africa"/>
    <x v="6"/>
    <s v="Mdjez el beb"/>
    <m/>
    <x v="0"/>
    <m/>
    <m/>
    <m/>
    <n v="1"/>
    <m/>
    <n v="314"/>
    <n v="0"/>
    <m/>
    <m/>
    <n v="4"/>
    <s v="Textile Machines"/>
    <s v="HR"/>
    <m/>
    <m/>
  </r>
  <r>
    <s v="CSR 87"/>
    <s v="North Africa"/>
    <x v="6"/>
    <s v="Mdjez el beb"/>
    <m/>
    <x v="0"/>
    <m/>
    <m/>
    <m/>
    <n v="1"/>
    <m/>
    <n v="314"/>
    <n v="0"/>
    <m/>
    <m/>
    <n v="6"/>
    <s v="Small businesses"/>
    <s v="HR"/>
    <m/>
    <m/>
  </r>
  <r>
    <s v="CSR 88"/>
    <s v="North Africa"/>
    <x v="6"/>
    <s v="Mdjez el beb"/>
    <m/>
    <x v="0"/>
    <m/>
    <m/>
    <m/>
    <n v="1"/>
    <m/>
    <n v="314"/>
    <n v="0"/>
    <m/>
    <m/>
    <n v="5"/>
    <s v="Participants"/>
    <s v="HR"/>
    <m/>
    <m/>
  </r>
  <r>
    <s v="CSR 89"/>
    <s v="North Africa"/>
    <x v="6"/>
    <s v="Mdjez el beb"/>
    <m/>
    <x v="0"/>
    <m/>
    <m/>
    <m/>
    <n v="1"/>
    <m/>
    <n v="314"/>
    <n v="0"/>
    <m/>
    <m/>
    <n v="30"/>
    <s v="Children"/>
    <s v="HR"/>
    <m/>
    <m/>
  </r>
  <r>
    <s v="CSR 90"/>
    <s v="North Africa"/>
    <x v="6"/>
    <s v="Mdjez el beb"/>
    <m/>
    <x v="0"/>
    <m/>
    <m/>
    <m/>
    <n v="1"/>
    <m/>
    <n v="314"/>
    <n v="0"/>
    <m/>
    <m/>
    <n v="0"/>
    <n v="0"/>
    <s v="HR"/>
    <m/>
    <m/>
  </r>
  <r>
    <s v="CSR 91"/>
    <s v="North Africa"/>
    <x v="6"/>
    <s v="Mdjez el beb"/>
    <m/>
    <x v="0"/>
    <m/>
    <m/>
    <m/>
    <n v="1"/>
    <m/>
    <n v="314"/>
    <n v="0"/>
    <m/>
    <m/>
    <s v="NA"/>
    <s v="NA"/>
    <s v="EHS"/>
    <m/>
    <m/>
  </r>
  <r>
    <s v="CSR 92"/>
    <s v="North Africa"/>
    <x v="6"/>
    <s v="Mdjez el beb"/>
    <m/>
    <x v="0"/>
    <m/>
    <m/>
    <m/>
    <n v="1"/>
    <m/>
    <n v="314"/>
    <n v="0"/>
    <m/>
    <m/>
    <n v="100"/>
    <s v="citizens"/>
    <s v="HR"/>
    <m/>
    <m/>
  </r>
  <r>
    <s v="CSR 93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n v="2500"/>
    <s v="Trees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5"/>
    <s v="North Africa"/>
    <x v="7"/>
    <s v="Tangier"/>
    <m/>
    <x v="0"/>
    <m/>
    <m/>
    <m/>
    <n v="1"/>
    <m/>
    <n v="516"/>
    <n v="0"/>
    <m/>
    <m/>
    <n v="10"/>
    <s v="Students participated"/>
    <s v="CSR Committe"/>
    <m/>
    <m/>
  </r>
  <r>
    <s v="CSR 96"/>
    <s v="North Africa"/>
    <x v="7"/>
    <s v="Tangier"/>
    <m/>
    <x v="0"/>
    <m/>
    <m/>
    <m/>
    <n v="1"/>
    <m/>
    <n v="516"/>
    <n v="0"/>
    <m/>
    <m/>
    <n v="62"/>
    <s v="blood bags"/>
    <s v="CSR Committe"/>
    <m/>
    <m/>
  </r>
  <r>
    <s v="CSR 97"/>
    <s v="North Africa"/>
    <x v="7"/>
    <s v="Tangier"/>
    <m/>
    <x v="0"/>
    <m/>
    <m/>
    <m/>
    <n v="1"/>
    <m/>
    <n v="516"/>
    <n v="0"/>
    <m/>
    <m/>
    <s v="700 Kg"/>
    <s v="Waste collected"/>
    <s v="CSR Committe"/>
    <m/>
    <m/>
  </r>
  <r>
    <s v="CSR 98"/>
    <s v="North Africa"/>
    <x v="7"/>
    <s v="Tangier"/>
    <m/>
    <x v="0"/>
    <m/>
    <m/>
    <m/>
    <n v="1"/>
    <m/>
    <n v="516"/>
    <n v="0"/>
    <m/>
    <m/>
    <n v="72"/>
    <s v="Women benefited"/>
    <s v="CSR Committe"/>
    <m/>
    <m/>
  </r>
  <r>
    <s v="CSR 99"/>
    <s v="North Africa"/>
    <x v="7"/>
    <s v="Tangier"/>
    <m/>
    <x v="0"/>
    <m/>
    <m/>
    <m/>
    <n v="1"/>
    <m/>
    <n v="516"/>
    <n v="0"/>
    <m/>
    <m/>
    <n v="3"/>
    <s v="Small businesses"/>
    <s v="CSR Committe"/>
    <m/>
    <m/>
  </r>
  <r>
    <s v="CSR 100"/>
    <s v="North Africa"/>
    <x v="7"/>
    <s v="Tangier"/>
    <m/>
    <x v="0"/>
    <m/>
    <m/>
    <m/>
    <n v="1"/>
    <m/>
    <n v="516"/>
    <n v="0"/>
    <m/>
    <m/>
    <n v="17"/>
    <s v="children"/>
    <s v="CSR Committe"/>
    <m/>
    <m/>
  </r>
  <r>
    <s v="CSR 101"/>
    <s v="North Africa"/>
    <x v="7"/>
    <s v="Kenitra"/>
    <m/>
    <x v="0"/>
    <m/>
    <m/>
    <m/>
    <n v="1"/>
    <m/>
    <n v="506"/>
    <n v="0"/>
    <m/>
    <m/>
    <n v="10"/>
    <s v="Students participated"/>
    <s v="CSR Committe"/>
    <m/>
    <m/>
  </r>
  <r>
    <s v="CSR 102"/>
    <s v="North Africa"/>
    <x v="7"/>
    <s v="Kenitra"/>
    <m/>
    <x v="0"/>
    <m/>
    <m/>
    <m/>
    <n v="1"/>
    <m/>
    <n v="506"/>
    <n v="0"/>
    <m/>
    <m/>
    <n v="65"/>
    <s v="Women"/>
    <s v="HR/COM"/>
    <m/>
    <m/>
  </r>
  <r>
    <s v="CSR 103"/>
    <s v="North Africa"/>
    <x v="7"/>
    <s v="Kenitra"/>
    <m/>
    <x v="0"/>
    <m/>
    <m/>
    <m/>
    <n v="1"/>
    <m/>
    <n v="506"/>
    <n v="0"/>
    <m/>
    <m/>
    <n v="3"/>
    <s v="Women Cooperatives"/>
    <s v="HR/COM"/>
    <m/>
    <m/>
  </r>
  <r>
    <s v="CSR 104"/>
    <s v="North Africa"/>
    <x v="7"/>
    <s v="Kenitra"/>
    <m/>
    <x v="0"/>
    <m/>
    <m/>
    <m/>
    <n v="1"/>
    <m/>
    <n v="506"/>
    <n v="0"/>
    <m/>
    <m/>
    <n v="2"/>
    <s v="Families in need"/>
    <s v="HR/COM"/>
    <m/>
    <m/>
  </r>
  <r>
    <s v="CSR 105"/>
    <s v="North Africa"/>
    <x v="7"/>
    <s v="Kenitra"/>
    <m/>
    <x v="0"/>
    <m/>
    <m/>
    <m/>
    <n v="1"/>
    <m/>
    <n v="506"/>
    <n v="0"/>
    <m/>
    <m/>
    <n v="220"/>
    <s v="Students"/>
    <s v="HR/COM"/>
    <m/>
    <m/>
  </r>
  <r>
    <s v="CSR 106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7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8"/>
    <s v="North Africa"/>
    <x v="7"/>
    <s v="Kenitra"/>
    <m/>
    <x v="0"/>
    <m/>
    <m/>
    <m/>
    <n v="1"/>
    <m/>
    <n v="506"/>
    <n v="0"/>
    <m/>
    <m/>
    <n v="3"/>
    <s v="blood bags"/>
    <s v="HR/COM"/>
    <m/>
    <m/>
  </r>
  <r>
    <s v="Total"/>
    <m/>
    <x v="0"/>
    <m/>
    <m/>
    <x v="6"/>
    <m/>
    <m/>
    <m/>
    <m/>
    <n v="1275"/>
    <m/>
    <n v="0.0370728379497411"/>
    <n v="0"/>
    <n v="7277"/>
    <m/>
    <m/>
    <m/>
    <n v="13"/>
    <m/>
  </r>
  <r>
    <m/>
    <m/>
    <x v="0"/>
    <m/>
    <s v="113 CSR Actions Globally"/>
    <x v="3"/>
    <s v="4 Actions"/>
    <m/>
    <n v="0.03539823008849557"/>
    <m/>
    <m/>
    <m/>
    <m/>
    <m/>
    <m/>
    <m/>
    <m/>
    <m/>
    <m/>
    <m/>
  </r>
  <r>
    <m/>
    <m/>
    <x v="0"/>
    <m/>
    <m/>
    <x v="4"/>
    <s v="2 Actions"/>
    <m/>
    <n v="0.01769911504424779"/>
    <m/>
    <m/>
    <m/>
    <m/>
    <m/>
    <m/>
    <m/>
    <m/>
    <m/>
    <m/>
    <m/>
  </r>
  <r>
    <m/>
    <m/>
    <x v="0"/>
    <m/>
    <m/>
    <x v="5"/>
    <s v="3 Actions"/>
    <m/>
    <n v="0.02654867256637168"/>
    <m/>
    <m/>
    <m/>
    <m/>
    <m/>
    <m/>
    <m/>
    <m/>
    <m/>
    <m/>
    <m/>
  </r>
  <r>
    <m/>
    <m/>
    <x v="0"/>
    <m/>
    <m/>
    <x v="2"/>
    <s v="2 Actions"/>
    <m/>
    <n v="0.01769911504424779"/>
    <m/>
    <m/>
    <m/>
    <m/>
    <m/>
    <m/>
    <m/>
    <m/>
    <m/>
    <m/>
    <m/>
  </r>
  <r>
    <m/>
    <m/>
    <x v="0"/>
    <m/>
    <m/>
    <x v="1"/>
    <s v="4 Actions"/>
    <m/>
    <n v="0.03539823008849557"/>
    <m/>
    <m/>
    <m/>
    <m/>
    <m/>
    <m/>
    <m/>
    <m/>
    <m/>
    <m/>
    <m/>
  </r>
  <r>
    <m/>
    <m/>
    <x v="0"/>
    <m/>
    <m/>
    <x v="7"/>
    <s v="0 Actions"/>
    <m/>
    <n v="0"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5" cacheId="1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10" fieldListSortAscending="0" mdxSubqueries="0" applyNumberFormats="0" applyBorderFormats="0" applyFontFormats="0" applyPatternFormats="0" applyAlignmentFormats="0" applyWidthHeightFormats="1" r:id="rId1">
  <location ref="A5:B7" firstHeaderRow="1" firstDataRow="1" firstDataCol="2"/>
  <pivotFields count="20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multipleItemSelectionAllowed="1" dragToPage="1" dragToData="1" dragOff="1" showAll="0" topAutoShow="1" itemPageCount="10" sortType="manual" defaultSubtotal="0">
      <items count="8">
        <item t="data" sd="0" x="3"/>
        <item t="data" sd="1" x="5"/>
        <item t="data" sd="0" x="7"/>
        <item t="data" sd="0" x="4"/>
        <item t="data" sd="0" x="2"/>
        <item t="data" sd="0" x="1"/>
        <item t="data" sd="0" x="6"/>
        <item t="data" h="1" sd="0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multipleItemSelectionAllowed="1" dragToPage="1" dragToData="1" dragOff="1" showAll="0" topAutoShow="1" itemPageCount="10" sortType="manual" defaultSubtotal="0">
      <items count="8">
        <item t="data" sd="1" x="4"/>
        <item t="data" sd="1" x="3"/>
        <item t="data" h="1" sd="1" x="5"/>
        <item t="data" h="1" sd="1" x="7"/>
        <item t="data" sd="1" x="1"/>
        <item t="data" h="1" sd="1" x="2"/>
        <item t="data" h="1" sd="1" x="0"/>
        <item t="data" h="1" sd="1" x="6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2">
    <field x="2"/>
    <field x="5"/>
  </rowFields>
  <rowItems count="2">
    <i t="data" r="0" i="0">
      <x v="4"/>
    </i>
    <i t="data" r="0" i="0">
      <x v="5"/>
    </i>
  </rowItems>
  <colItems count="1">
    <i t="data" r="0" i="0"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31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C19" firstHeaderRow="1" firstDataRow="1" firstDataCol="2"/>
  <pivotFields count="20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x="3"/>
        <item t="data" sd="1" x="5"/>
        <item t="data" sd="1" x="7"/>
        <item t="data" sd="1" x="4"/>
        <item t="data" sd="1" x="2"/>
        <item t="data" sd="1" x="1"/>
        <item t="data" sd="1" x="6"/>
        <item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6">
        <item t="data" sd="1" x="8"/>
        <item t="data" sd="1" x="6"/>
        <item t="data" sd="1" x="7"/>
        <item t="data" sd="1" x="10"/>
        <item t="data" sd="1" x="11"/>
        <item t="data" sd="1" x="15"/>
        <item t="data" sd="1" x="9"/>
        <item t="data" sd="1" x="13"/>
        <item t="data" sd="1" x="2"/>
        <item t="data" sd="1" x="3"/>
        <item t="data" sd="1" x="1"/>
        <item t="data" sd="1" x="14"/>
        <item t="data" sd="1" x="4"/>
        <item t="data" sd="1" x="12"/>
        <item t="data" sd="1" x="0"/>
        <item t="data" sd="1" x="5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</pivotFields>
  <rowFields count="2">
    <field x="2"/>
    <field x="3"/>
  </rowFields>
  <rowItems count="16">
    <i t="data" r="0" i="0">
      <x v="0"/>
      <x v="12"/>
    </i>
    <i t="data" r="1" i="0">
      <x v="15"/>
    </i>
    <i t="data" r="0" i="0">
      <x v="1"/>
      <x v="0"/>
    </i>
    <i t="data" r="1" i="0">
      <x v="3"/>
    </i>
    <i t="data" r="1" i="0">
      <x v="4"/>
    </i>
    <i t="data" r="1" i="0">
      <x v="6"/>
    </i>
    <i t="data" r="0" i="0">
      <x v="2"/>
      <x v="5"/>
    </i>
    <i t="data" r="1" i="0">
      <x v="11"/>
    </i>
    <i t="data" r="0" i="0">
      <x v="3"/>
      <x v="1"/>
    </i>
    <i t="data" r="1" i="0">
      <x v="2"/>
    </i>
    <i t="data" r="0" i="0">
      <x v="4"/>
      <x v="8"/>
    </i>
    <i t="data" r="1" i="0">
      <x v="9"/>
    </i>
    <i t="data" r="0" i="0">
      <x v="5"/>
      <x v="10"/>
    </i>
    <i t="data" r="0" i="0">
      <x v="6"/>
      <x v="7"/>
    </i>
    <i t="data" r="1" i="0">
      <x v="13"/>
    </i>
    <i t="data" r="0" i="0">
      <x v="7"/>
      <x v="14"/>
    </i>
  </rowItems>
  <colItems count="1">
    <i t="data" r="0" i="0"/>
  </colItems>
  <dataFields count="1">
    <dataField name="Somme de Number of External Partners" fld="19" subtotal="sum" showDataAs="normal" baseField="0" baseItem="0"/>
  </dataFields>
  <chartFormats count="1">
    <chartFormat chart="0" format="3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Corporate%20CSR%20Report%202023.pptx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2.xml" Id="rId2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0"/>
  <sheetViews>
    <sheetView tabSelected="1" zoomScale="110" zoomScaleNormal="110" workbookViewId="0">
      <pane xSplit="1" ySplit="2" topLeftCell="D32" activePane="bottomRight" state="frozen"/>
      <selection pane="topRight" activeCell="B1" sqref="B1"/>
      <selection pane="bottomLeft" activeCell="A3" sqref="A3"/>
      <selection pane="bottomRight" activeCell="E39" sqref="E39"/>
    </sheetView>
  </sheetViews>
  <sheetFormatPr baseColWidth="10" defaultRowHeight="15"/>
  <cols>
    <col width="24.42578125" customWidth="1" min="2" max="3"/>
    <col width="26.5703125" customWidth="1" min="4" max="4"/>
    <col width="36" customWidth="1" min="5" max="5"/>
    <col width="22.85546875" customWidth="1" min="6" max="7"/>
    <col hidden="1" width="13" customWidth="1" min="8" max="8"/>
    <col width="13.5703125" bestFit="1" customWidth="1" min="9" max="9"/>
    <col width="19.85546875" customWidth="1" min="11" max="11"/>
    <col width="7.42578125" customWidth="1" min="12" max="12"/>
    <col width="17.85546875" customWidth="1" min="13" max="14"/>
    <col width="15.85546875" customWidth="1" min="15" max="15"/>
    <col width="16.140625" customWidth="1" min="17" max="17"/>
    <col width="20.28515625" customWidth="1" min="18" max="18"/>
    <col width="23.85546875" customWidth="1" min="19" max="19"/>
  </cols>
  <sheetData>
    <row r="1" ht="45" customHeight="1">
      <c r="A1" s="1" t="inlineStr">
        <is>
          <t>Activity N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Plant</t>
        </is>
      </c>
      <c r="E1" s="1" t="inlineStr">
        <is>
          <t>Activity Title/ description</t>
        </is>
      </c>
      <c r="F1" s="1" t="inlineStr">
        <is>
          <t>Category</t>
        </is>
      </c>
      <c r="G1" s="1" t="inlineStr">
        <is>
          <t>Nature of collaboration</t>
        </is>
      </c>
      <c r="H1" s="1" t="inlineStr">
        <is>
          <t>Year</t>
        </is>
      </c>
      <c r="I1" s="1" t="inlineStr">
        <is>
          <t>Start year</t>
        </is>
      </c>
      <c r="J1" s="1" t="inlineStr">
        <is>
          <t>Edition</t>
        </is>
      </c>
      <c r="K1" s="1" t="inlineStr">
        <is>
          <t>Nbr of internal Participants</t>
        </is>
      </c>
      <c r="L1" s="1" t="inlineStr">
        <is>
          <t>Total HC</t>
        </is>
      </c>
      <c r="M1" s="1" t="inlineStr">
        <is>
          <t xml:space="preserve">Percentage out of all the employees % </t>
        </is>
      </c>
      <c r="N1" s="1" t="inlineStr">
        <is>
          <t>Estimated Budget in €</t>
        </is>
      </c>
      <c r="O1" s="1" t="inlineStr">
        <is>
          <t>Actual Budget in €</t>
        </is>
      </c>
      <c r="P1" s="1" t="inlineStr">
        <is>
          <t>Action Impact 
In Numbers</t>
        </is>
      </c>
      <c r="Q1" s="115" t="inlineStr">
        <is>
          <t>Action Impact
Unit</t>
        </is>
      </c>
      <c r="R1" s="1" t="inlineStr">
        <is>
          <t>Organizer</t>
        </is>
      </c>
      <c r="S1" s="13" t="inlineStr">
        <is>
          <t>External Partner</t>
        </is>
      </c>
      <c r="T1" s="41" t="inlineStr">
        <is>
          <t>Number of External Partners</t>
        </is>
      </c>
    </row>
    <row r="2" ht="15" customHeight="1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7" t="n"/>
      <c r="R2" s="116" t="n"/>
      <c r="S2" s="78" t="n"/>
      <c r="T2" s="40" t="n"/>
    </row>
    <row r="3" ht="30" customHeight="1">
      <c r="A3" s="2" t="inlineStr">
        <is>
          <t>CSR 1</t>
        </is>
      </c>
      <c r="B3" s="81" t="inlineStr">
        <is>
          <t>EE</t>
        </is>
      </c>
      <c r="C3" s="33" t="inlineStr">
        <is>
          <t>Serbia</t>
        </is>
      </c>
      <c r="D3" s="35" t="inlineStr">
        <is>
          <t>Serbia</t>
        </is>
      </c>
      <c r="E3" s="12" t="inlineStr">
        <is>
          <t xml:space="preserve">Donation for “Be Human” foundation </t>
        </is>
      </c>
      <c r="F3" s="4" t="inlineStr">
        <is>
          <t>Social</t>
        </is>
      </c>
      <c r="G3" s="4" t="inlineStr">
        <is>
          <t>Charity/Donation</t>
        </is>
      </c>
      <c r="H3" s="81" t="n">
        <v>2024</v>
      </c>
      <c r="I3" s="5" t="n">
        <v>2024</v>
      </c>
      <c r="J3" s="5">
        <f>2025-I3</f>
        <v/>
      </c>
      <c r="K3" s="5" t="n">
        <v>0</v>
      </c>
      <c r="L3" s="5" t="n">
        <v>307</v>
      </c>
      <c r="M3" s="118">
        <f>K3/307</f>
        <v/>
      </c>
      <c r="N3" s="5" t="n"/>
      <c r="O3" s="5" t="n">
        <v>300</v>
      </c>
      <c r="P3" s="5" t="n">
        <v>12</v>
      </c>
      <c r="Q3" s="5" t="inlineStr">
        <is>
          <t>Child</t>
        </is>
      </c>
      <c r="R3" s="5" t="inlineStr">
        <is>
          <t>HR</t>
        </is>
      </c>
      <c r="S3" s="5" t="inlineStr">
        <is>
          <t xml:space="preserve">Humanitarian Foundation „ Be Human- Aleksandar Šapić </t>
        </is>
      </c>
      <c r="T3" s="81" t="n">
        <v>1</v>
      </c>
    </row>
    <row r="4" ht="45" customHeight="1">
      <c r="A4" s="2" t="inlineStr">
        <is>
          <t>CSR 2</t>
        </is>
      </c>
      <c r="B4" s="81" t="inlineStr">
        <is>
          <t>EE</t>
        </is>
      </c>
      <c r="C4" s="33" t="inlineStr">
        <is>
          <t>Serbia</t>
        </is>
      </c>
      <c r="D4" s="35" t="inlineStr">
        <is>
          <t>Serbia</t>
        </is>
      </c>
      <c r="E4" s="12" t="inlineStr">
        <is>
          <t>Donation – the Womens Association „Kraljevčanke“</t>
        </is>
      </c>
      <c r="F4" s="4" t="inlineStr">
        <is>
          <t>Social</t>
        </is>
      </c>
      <c r="G4" s="4" t="inlineStr">
        <is>
          <t>Charity/Donation</t>
        </is>
      </c>
      <c r="H4" s="47" t="n">
        <v>2024</v>
      </c>
      <c r="I4" s="5" t="n">
        <v>2024</v>
      </c>
      <c r="J4" s="5">
        <f>2025-I4</f>
        <v/>
      </c>
      <c r="K4" s="5" t="n">
        <v>2</v>
      </c>
      <c r="L4" s="5" t="n">
        <v>307</v>
      </c>
      <c r="M4" s="118">
        <f>K4/307</f>
        <v/>
      </c>
      <c r="N4" s="5" t="n"/>
      <c r="O4" s="5" t="n">
        <v>170</v>
      </c>
      <c r="P4" s="5" t="inlineStr">
        <is>
          <t>NA</t>
        </is>
      </c>
      <c r="Q4" s="5" t="inlineStr">
        <is>
          <t>NA</t>
        </is>
      </c>
      <c r="R4" s="5" t="inlineStr">
        <is>
          <t>HR</t>
        </is>
      </c>
      <c r="S4" s="5" t="inlineStr">
        <is>
          <t>Women’s Association „Kraljevčanke“ from Kraljevc</t>
        </is>
      </c>
      <c r="T4" s="81" t="n">
        <v>1</v>
      </c>
    </row>
    <row r="5" ht="30" customHeight="1">
      <c r="A5" s="2" t="inlineStr">
        <is>
          <t>CSR 3</t>
        </is>
      </c>
      <c r="B5" s="81" t="inlineStr">
        <is>
          <t>EE</t>
        </is>
      </c>
      <c r="C5" s="33" t="inlineStr">
        <is>
          <t>Serbia</t>
        </is>
      </c>
      <c r="D5" s="35" t="inlineStr">
        <is>
          <t>Serbia</t>
        </is>
      </c>
      <c r="E5" s="12" t="inlineStr">
        <is>
          <t xml:space="preserve">Donation- Technical School </t>
        </is>
      </c>
      <c r="F5" s="4" t="inlineStr">
        <is>
          <t>Sports</t>
        </is>
      </c>
      <c r="G5" s="4" t="inlineStr">
        <is>
          <t>Charity/Donation</t>
        </is>
      </c>
      <c r="H5" s="47" t="n">
        <v>2024</v>
      </c>
      <c r="I5" s="5" t="n">
        <v>2022</v>
      </c>
      <c r="J5" s="5">
        <f>2025-I5</f>
        <v/>
      </c>
      <c r="K5" s="5" t="n">
        <v>3</v>
      </c>
      <c r="L5" s="5" t="n">
        <v>307</v>
      </c>
      <c r="M5" s="118">
        <f>K5/307</f>
        <v/>
      </c>
      <c r="N5" s="5" t="n"/>
      <c r="O5" s="5" t="n">
        <v>475</v>
      </c>
      <c r="P5" s="5" t="n">
        <v>160</v>
      </c>
      <c r="Q5" s="5" t="inlineStr">
        <is>
          <t>Sports wear</t>
        </is>
      </c>
      <c r="R5" s="5" t="inlineStr">
        <is>
          <t>HR</t>
        </is>
      </c>
      <c r="S5" s="5" t="inlineStr">
        <is>
          <t xml:space="preserve">Technical School Stara Pazova </t>
        </is>
      </c>
      <c r="T5" s="81" t="n">
        <v>1</v>
      </c>
    </row>
    <row r="6" ht="30" customHeight="1">
      <c r="A6" s="2" t="inlineStr">
        <is>
          <t>CSR 4</t>
        </is>
      </c>
      <c r="B6" s="81" t="inlineStr">
        <is>
          <t>EE</t>
        </is>
      </c>
      <c r="C6" s="33" t="inlineStr">
        <is>
          <t>Serbia</t>
        </is>
      </c>
      <c r="D6" s="35" t="inlineStr">
        <is>
          <t>Serbia</t>
        </is>
      </c>
      <c r="E6" s="3" t="inlineStr">
        <is>
          <t xml:space="preserve">Donation- Svratište </t>
        </is>
      </c>
      <c r="F6" s="4" t="inlineStr">
        <is>
          <t>Social</t>
        </is>
      </c>
      <c r="G6" s="4" t="inlineStr">
        <is>
          <t>Charity/Donation</t>
        </is>
      </c>
      <c r="H6" s="47" t="n">
        <v>2024</v>
      </c>
      <c r="I6" s="5" t="n">
        <v>2023</v>
      </c>
      <c r="J6" s="5">
        <f>2025-I6</f>
        <v/>
      </c>
      <c r="K6" s="5" t="n">
        <v>300</v>
      </c>
      <c r="L6" s="5" t="n">
        <v>307</v>
      </c>
      <c r="M6" s="118">
        <f>K6/307</f>
        <v/>
      </c>
      <c r="N6" s="5" t="n"/>
      <c r="O6" s="5" t="n">
        <v>0</v>
      </c>
      <c r="P6" s="5" t="n">
        <v>0</v>
      </c>
      <c r="Q6" s="5" t="inlineStr">
        <is>
          <t>Clothes</t>
        </is>
      </c>
      <c r="R6" s="5" t="inlineStr">
        <is>
          <t>HR</t>
        </is>
      </c>
      <c r="S6" s="5" t="inlineStr">
        <is>
          <t>Center for Youth Integration in Belgrade</t>
        </is>
      </c>
      <c r="T6" s="81" t="n">
        <v>1</v>
      </c>
    </row>
    <row r="7" ht="39" customHeight="1">
      <c r="A7" s="2" t="inlineStr">
        <is>
          <t>CSR 5</t>
        </is>
      </c>
      <c r="B7" s="81" t="inlineStr">
        <is>
          <t>EE</t>
        </is>
      </c>
      <c r="C7" s="33" t="inlineStr">
        <is>
          <t>Serbia</t>
        </is>
      </c>
      <c r="D7" s="35" t="inlineStr">
        <is>
          <t>Serbia</t>
        </is>
      </c>
      <c r="E7" s="3" t="inlineStr">
        <is>
          <t>World Environment day- planting trees and cleaning action</t>
        </is>
      </c>
      <c r="F7" s="4" t="inlineStr">
        <is>
          <t>Environment</t>
        </is>
      </c>
      <c r="G7" s="4" t="inlineStr">
        <is>
          <t>Partnership</t>
        </is>
      </c>
      <c r="H7" s="47" t="n">
        <v>2024</v>
      </c>
      <c r="I7" s="5" t="n">
        <v>2024</v>
      </c>
      <c r="J7" s="5">
        <f>2025-I7</f>
        <v/>
      </c>
      <c r="K7" s="5" t="n">
        <v>20</v>
      </c>
      <c r="L7" s="5" t="n">
        <v>307</v>
      </c>
      <c r="M7" s="118">
        <f>K7/L7</f>
        <v/>
      </c>
      <c r="N7" s="5" t="n"/>
      <c r="O7" s="5" t="n">
        <v>710</v>
      </c>
      <c r="P7" s="5" t="n">
        <v>120</v>
      </c>
      <c r="Q7" s="5" t="inlineStr">
        <is>
          <t>Trees</t>
        </is>
      </c>
      <c r="R7" s="5" t="inlineStr">
        <is>
          <t>HR &amp; EHS</t>
        </is>
      </c>
      <c r="S7" s="5" t="inlineStr">
        <is>
          <t xml:space="preserve">World Environment day- planting trees and cleaning action
kindergarten in Surčin.
Nautical Village </t>
        </is>
      </c>
      <c r="T7" s="81" t="n">
        <v>3</v>
      </c>
    </row>
    <row r="8" ht="35.25" customHeight="1">
      <c r="A8" s="2" t="inlineStr">
        <is>
          <t>CSR 6</t>
        </is>
      </c>
      <c r="B8" s="81" t="inlineStr">
        <is>
          <t>EE</t>
        </is>
      </c>
      <c r="C8" s="33" t="inlineStr">
        <is>
          <t>Serbia</t>
        </is>
      </c>
      <c r="D8" s="35" t="inlineStr">
        <is>
          <t>Serbia</t>
        </is>
      </c>
      <c r="E8" s="12" t="inlineStr">
        <is>
          <t>Donating cables – „Road Arrow„</t>
        </is>
      </c>
      <c r="F8" s="4" t="inlineStr">
        <is>
          <t>Education</t>
        </is>
      </c>
      <c r="G8" s="4" t="inlineStr">
        <is>
          <t>Sponsorship</t>
        </is>
      </c>
      <c r="H8" s="47" t="n">
        <v>2024</v>
      </c>
      <c r="I8" s="5" t="n">
        <v>2024</v>
      </c>
      <c r="J8" s="5">
        <f>2025-I8</f>
        <v/>
      </c>
      <c r="K8" s="5" t="n">
        <v>3</v>
      </c>
      <c r="L8" s="5" t="n">
        <v>307</v>
      </c>
      <c r="M8" s="118">
        <f>K8/L8</f>
        <v/>
      </c>
      <c r="N8" s="5" t="n"/>
      <c r="O8" s="5" t="n">
        <v>200</v>
      </c>
      <c r="P8" s="5" t="inlineStr">
        <is>
          <t>NA</t>
        </is>
      </c>
      <c r="Q8" s="5" t="inlineStr">
        <is>
          <t>Cables</t>
        </is>
      </c>
      <c r="R8" s="5" t="inlineStr">
        <is>
          <t>HR</t>
        </is>
      </c>
      <c r="S8" s="5" t="inlineStr">
        <is>
          <t>Serbian Formula Student team „ Road Arrow</t>
        </is>
      </c>
      <c r="T8" s="81" t="n">
        <v>1</v>
      </c>
    </row>
    <row r="9" ht="31.5" customHeight="1">
      <c r="A9" s="2" t="inlineStr">
        <is>
          <t>CSR 7</t>
        </is>
      </c>
      <c r="B9" s="81" t="inlineStr">
        <is>
          <t>EE</t>
        </is>
      </c>
      <c r="C9" s="33" t="inlineStr">
        <is>
          <t>Serbia</t>
        </is>
      </c>
      <c r="D9" s="35" t="inlineStr">
        <is>
          <t>Serbia</t>
        </is>
      </c>
      <c r="E9" s="12" t="inlineStr">
        <is>
          <t>Air conditioners donation- Golubinci school</t>
        </is>
      </c>
      <c r="F9" s="4" t="inlineStr">
        <is>
          <t>Education</t>
        </is>
      </c>
      <c r="G9" s="4" t="inlineStr">
        <is>
          <t>Charity/Donation</t>
        </is>
      </c>
      <c r="H9" s="47" t="n">
        <v>2024</v>
      </c>
      <c r="I9" s="5" t="n">
        <v>2022</v>
      </c>
      <c r="J9" s="5">
        <f>2025-I9</f>
        <v/>
      </c>
      <c r="K9" s="5" t="n">
        <v>5</v>
      </c>
      <c r="L9" s="5" t="n">
        <v>307</v>
      </c>
      <c r="M9" s="118">
        <f>K9/307</f>
        <v/>
      </c>
      <c r="N9" s="5" t="n"/>
      <c r="O9" s="5" t="n">
        <v>1330</v>
      </c>
      <c r="P9" s="5" t="n">
        <v>4</v>
      </c>
      <c r="Q9" s="5" t="inlineStr">
        <is>
          <t>Air conditioners</t>
        </is>
      </c>
      <c r="R9" s="5" t="inlineStr">
        <is>
          <t>HR</t>
        </is>
      </c>
      <c r="S9" s="5" t="inlineStr">
        <is>
          <t>elementary school "23. oktobar</t>
        </is>
      </c>
      <c r="T9" s="81" t="n">
        <v>1</v>
      </c>
    </row>
    <row r="10" ht="30.75" customHeight="1">
      <c r="A10" s="2" t="inlineStr">
        <is>
          <t>CSR 8</t>
        </is>
      </c>
      <c r="B10" s="81" t="inlineStr">
        <is>
          <t>EE</t>
        </is>
      </c>
      <c r="C10" s="33" t="inlineStr">
        <is>
          <t>Serbia</t>
        </is>
      </c>
      <c r="D10" s="35" t="inlineStr">
        <is>
          <t>Serbia</t>
        </is>
      </c>
      <c r="E10" s="12" t="inlineStr">
        <is>
          <t>Donation- Drop-in shelter center</t>
        </is>
      </c>
      <c r="F10" s="4" t="inlineStr">
        <is>
          <t>Social</t>
        </is>
      </c>
      <c r="G10" s="4" t="inlineStr">
        <is>
          <t>Charity/Donation</t>
        </is>
      </c>
      <c r="H10" s="47" t="n">
        <v>2024</v>
      </c>
      <c r="I10" s="5" t="n">
        <v>2024</v>
      </c>
      <c r="J10" s="5">
        <f>2025-I10</f>
        <v/>
      </c>
      <c r="K10" s="5" t="n">
        <v>300</v>
      </c>
      <c r="L10" s="5" t="n">
        <v>307</v>
      </c>
      <c r="M10" s="118">
        <f>K10/307</f>
        <v/>
      </c>
      <c r="N10" s="5" t="n"/>
      <c r="O10" s="5" t="n">
        <v>0</v>
      </c>
      <c r="P10" s="5" t="n">
        <v>4</v>
      </c>
      <c r="Q10" s="5" t="inlineStr">
        <is>
          <t>Clothes</t>
        </is>
      </c>
      <c r="R10" s="5" t="inlineStr">
        <is>
          <t>HR</t>
        </is>
      </c>
      <c r="S10" s="5" t="inlineStr">
        <is>
          <t xml:space="preserve">center's Drop-In Shelter </t>
        </is>
      </c>
      <c r="T10" s="81" t="n">
        <v>1</v>
      </c>
    </row>
    <row r="11" ht="42" customHeight="1">
      <c r="A11" s="2" t="inlineStr">
        <is>
          <t>CSR 9</t>
        </is>
      </c>
      <c r="B11" s="81" t="inlineStr">
        <is>
          <t>EE</t>
        </is>
      </c>
      <c r="C11" s="33" t="inlineStr">
        <is>
          <t>Serbia</t>
        </is>
      </c>
      <c r="D11" s="35" t="inlineStr">
        <is>
          <t>Serbia</t>
        </is>
      </c>
      <c r="E11" s="12" t="inlineStr">
        <is>
          <t>Pink October</t>
        </is>
      </c>
      <c r="F11" s="4" t="inlineStr">
        <is>
          <t>Health</t>
        </is>
      </c>
      <c r="G11" s="4" t="inlineStr">
        <is>
          <t>Sponsorship</t>
        </is>
      </c>
      <c r="H11" s="47" t="n">
        <v>2024</v>
      </c>
      <c r="I11" s="5" t="n">
        <v>2024</v>
      </c>
      <c r="J11" s="5">
        <f>2025-I11</f>
        <v/>
      </c>
      <c r="K11" s="5" t="n">
        <v>1</v>
      </c>
      <c r="L11" s="5" t="n">
        <v>307</v>
      </c>
      <c r="M11" s="118">
        <f>K11/307</f>
        <v/>
      </c>
      <c r="N11" s="5" t="n"/>
      <c r="O11" s="5" t="n">
        <v>1307</v>
      </c>
      <c r="P11" s="5" t="n">
        <v>50</v>
      </c>
      <c r="Q11" s="5" t="inlineStr">
        <is>
          <t>Free breast examinations</t>
        </is>
      </c>
      <c r="R11" s="5" t="inlineStr">
        <is>
          <t>HR</t>
        </is>
      </c>
      <c r="S11" s="5" t="inlineStr">
        <is>
          <t>health institute "Medica Nova</t>
        </is>
      </c>
      <c r="T11" s="81" t="n">
        <v>1</v>
      </c>
    </row>
    <row r="12" ht="29.25" customHeight="1">
      <c r="A12" s="2" t="inlineStr">
        <is>
          <t>CSR 10</t>
        </is>
      </c>
      <c r="B12" s="81" t="inlineStr">
        <is>
          <t>EE</t>
        </is>
      </c>
      <c r="C12" s="33" t="inlineStr">
        <is>
          <t>Serbia</t>
        </is>
      </c>
      <c r="D12" s="35" t="inlineStr">
        <is>
          <t>Serbia</t>
        </is>
      </c>
      <c r="E12" s="12" t="inlineStr">
        <is>
          <t>Blood Donation</t>
        </is>
      </c>
      <c r="F12" s="4" t="inlineStr">
        <is>
          <t>Health</t>
        </is>
      </c>
      <c r="G12" s="4" t="inlineStr">
        <is>
          <t>Charity/Donation</t>
        </is>
      </c>
      <c r="H12" s="47" t="n">
        <v>2024</v>
      </c>
      <c r="I12" s="5" t="n">
        <v>2023</v>
      </c>
      <c r="J12" s="5">
        <f>2025-I12</f>
        <v/>
      </c>
      <c r="K12" s="5" t="n">
        <v>10</v>
      </c>
      <c r="L12" s="5" t="n">
        <v>307</v>
      </c>
      <c r="M12" s="118">
        <f>K12/307</f>
        <v/>
      </c>
      <c r="N12" s="5" t="n"/>
      <c r="O12" s="5" t="n">
        <v>285</v>
      </c>
      <c r="P12" s="5" t="n">
        <v>50</v>
      </c>
      <c r="Q12" s="5" t="inlineStr">
        <is>
          <t>blood bags</t>
        </is>
      </c>
      <c r="R12" s="5" t="inlineStr">
        <is>
          <t>HR</t>
        </is>
      </c>
      <c r="S12" s="5" t="inlineStr">
        <is>
          <t>Blood Transfusion Institute Serbia</t>
        </is>
      </c>
      <c r="T12" s="81" t="n">
        <v>1</v>
      </c>
    </row>
    <row r="13" ht="24.75" customHeight="1">
      <c r="A13" s="2" t="inlineStr">
        <is>
          <t>CSR 11</t>
        </is>
      </c>
      <c r="B13" s="81" t="inlineStr">
        <is>
          <t>EE</t>
        </is>
      </c>
      <c r="C13" s="33" t="inlineStr">
        <is>
          <t>Serbia</t>
        </is>
      </c>
      <c r="D13" s="35" t="inlineStr">
        <is>
          <t>Serbia</t>
        </is>
      </c>
      <c r="E13" s="12" t="inlineStr">
        <is>
          <t>Battery recycling</t>
        </is>
      </c>
      <c r="F13" s="4" t="inlineStr">
        <is>
          <t>Environment</t>
        </is>
      </c>
      <c r="G13" s="5" t="inlineStr">
        <is>
          <t>Others</t>
        </is>
      </c>
      <c r="H13" s="47" t="n">
        <v>2024</v>
      </c>
      <c r="I13" s="49" t="n">
        <v>2023</v>
      </c>
      <c r="J13" s="5" t="n">
        <v>2</v>
      </c>
      <c r="K13" s="5" t="n">
        <v>300</v>
      </c>
      <c r="L13" s="5" t="n">
        <v>307</v>
      </c>
      <c r="M13" s="118">
        <f>K13/307</f>
        <v/>
      </c>
      <c r="N13" s="5" t="n"/>
      <c r="O13" s="5" t="n">
        <v>0</v>
      </c>
      <c r="P13" s="5" t="n">
        <v>30</v>
      </c>
      <c r="Q13" s="5" t="inlineStr">
        <is>
          <t>Kg of battery waste</t>
        </is>
      </c>
      <c r="R13" s="5" t="inlineStr">
        <is>
          <t>HR</t>
        </is>
      </c>
      <c r="S13" s="5" t="inlineStr">
        <is>
          <t>NA</t>
        </is>
      </c>
      <c r="T13" s="81" t="n">
        <v>0</v>
      </c>
    </row>
    <row r="14" ht="36" customHeight="1">
      <c r="A14" s="2" t="inlineStr">
        <is>
          <t>CSR 12</t>
        </is>
      </c>
      <c r="B14" s="81" t="inlineStr">
        <is>
          <t>EE</t>
        </is>
      </c>
      <c r="C14" s="33" t="inlineStr">
        <is>
          <t>Serbia</t>
        </is>
      </c>
      <c r="D14" s="35" t="inlineStr">
        <is>
          <t>Serbia</t>
        </is>
      </c>
      <c r="E14" s="12" t="inlineStr">
        <is>
          <t>Cap for handicap</t>
        </is>
      </c>
      <c r="F14" s="4" t="inlineStr">
        <is>
          <t>Environment</t>
        </is>
      </c>
      <c r="G14" s="4" t="inlineStr">
        <is>
          <t>Others</t>
        </is>
      </c>
      <c r="H14" s="47" t="n">
        <v>2024</v>
      </c>
      <c r="I14" s="5" t="n">
        <v>2023</v>
      </c>
      <c r="J14" s="5" t="n">
        <v>2</v>
      </c>
      <c r="K14" s="5" t="n">
        <v>250</v>
      </c>
      <c r="L14" s="5" t="n">
        <v>307</v>
      </c>
      <c r="M14" s="118">
        <f>K14/307</f>
        <v/>
      </c>
      <c r="N14" s="5" t="n"/>
      <c r="O14" s="5" t="n">
        <v>0</v>
      </c>
      <c r="P14" s="5" t="n">
        <v>30</v>
      </c>
      <c r="Q14" s="5" t="inlineStr">
        <is>
          <t>Kg of plastic caps</t>
        </is>
      </c>
      <c r="R14" s="5" t="inlineStr">
        <is>
          <t>HR/EHS</t>
        </is>
      </c>
      <c r="S14" s="5" t="inlineStr">
        <is>
          <t>NA</t>
        </is>
      </c>
      <c r="T14" s="81" t="n">
        <v>0</v>
      </c>
    </row>
    <row r="15" ht="32.25" customHeight="1">
      <c r="A15" s="2" t="inlineStr">
        <is>
          <t>CSR 13</t>
        </is>
      </c>
      <c r="B15" s="81" t="inlineStr">
        <is>
          <t>EE</t>
        </is>
      </c>
      <c r="C15" s="33" t="inlineStr">
        <is>
          <t>Romania</t>
        </is>
      </c>
      <c r="D15" s="35" t="inlineStr">
        <is>
          <t>Ploeisti</t>
        </is>
      </c>
      <c r="E15" s="50" t="inlineStr">
        <is>
          <t>Anti-drug awareness campaigns in Coficab</t>
        </is>
      </c>
      <c r="F15" s="4" t="inlineStr">
        <is>
          <t>Health</t>
        </is>
      </c>
      <c r="G15" s="4" t="inlineStr">
        <is>
          <t>Others</t>
        </is>
      </c>
      <c r="H15" s="47" t="n">
        <v>2024</v>
      </c>
      <c r="I15" s="5" t="n">
        <v>2024</v>
      </c>
      <c r="J15" s="5" t="n">
        <v>1</v>
      </c>
      <c r="K15" s="5" t="n">
        <v>66</v>
      </c>
      <c r="L15" s="5" t="n">
        <v>307</v>
      </c>
      <c r="M15" s="118">
        <f>K15/307</f>
        <v/>
      </c>
      <c r="N15" s="5" t="n"/>
      <c r="O15" s="5" t="n">
        <v>0</v>
      </c>
      <c r="P15" s="5" t="n">
        <v>0</v>
      </c>
      <c r="Q15" s="5" t="inlineStr">
        <is>
          <t>NA</t>
        </is>
      </c>
      <c r="R15" s="5" t="inlineStr">
        <is>
          <t>HR/EHS</t>
        </is>
      </c>
      <c r="S15" s="5" t="inlineStr">
        <is>
          <t>NA</t>
        </is>
      </c>
      <c r="T15" s="81" t="n">
        <v>0</v>
      </c>
    </row>
    <row r="16" ht="35.25" customHeight="1">
      <c r="A16" s="2" t="inlineStr">
        <is>
          <t>CSR 14</t>
        </is>
      </c>
      <c r="B16" s="81" t="inlineStr">
        <is>
          <t>EE</t>
        </is>
      </c>
      <c r="C16" s="33" t="inlineStr">
        <is>
          <t>Romania</t>
        </is>
      </c>
      <c r="D16" s="35" t="inlineStr">
        <is>
          <t>Ploeisti</t>
        </is>
      </c>
      <c r="E16" s="12" t="inlineStr">
        <is>
          <t>Donating equipment to a sports club for children</t>
        </is>
      </c>
      <c r="F16" s="4" t="inlineStr">
        <is>
          <t>Sports</t>
        </is>
      </c>
      <c r="G16" s="4" t="inlineStr">
        <is>
          <t>Charity/Donation</t>
        </is>
      </c>
      <c r="H16" s="47" t="n">
        <v>2024</v>
      </c>
      <c r="I16" s="5" t="n">
        <v>2024</v>
      </c>
      <c r="J16" s="5" t="n">
        <v>1</v>
      </c>
      <c r="K16" s="5" t="n">
        <v>0</v>
      </c>
      <c r="L16" s="5" t="n">
        <v>307</v>
      </c>
      <c r="M16" s="118">
        <f>K16/307</f>
        <v/>
      </c>
      <c r="N16" s="5" t="n"/>
      <c r="O16" s="5" t="n">
        <v>1000</v>
      </c>
      <c r="P16" s="5" t="n">
        <v>0</v>
      </c>
      <c r="Q16" s="5" t="n">
        <v>0</v>
      </c>
      <c r="R16" s="5" t="inlineStr">
        <is>
          <t>HR</t>
        </is>
      </c>
      <c r="S16" s="5" t="inlineStr">
        <is>
          <t>sports club for children</t>
        </is>
      </c>
      <c r="T16" s="81" t="n">
        <v>1</v>
      </c>
    </row>
    <row r="17" ht="51" customHeight="1">
      <c r="A17" s="2" t="inlineStr">
        <is>
          <t>CSR 15</t>
        </is>
      </c>
      <c r="B17" s="81" t="inlineStr">
        <is>
          <t>EE</t>
        </is>
      </c>
      <c r="C17" s="36" t="inlineStr">
        <is>
          <t>Romania</t>
        </is>
      </c>
      <c r="D17" s="35" t="inlineStr">
        <is>
          <t>Ploeisti</t>
        </is>
      </c>
      <c r="E17" s="12" t="inlineStr">
        <is>
          <t>Rehabilitation of a playground for an educational facility in an educational institution</t>
        </is>
      </c>
      <c r="F17" s="4" t="inlineStr">
        <is>
          <t>Environment</t>
        </is>
      </c>
      <c r="G17" s="4" t="inlineStr">
        <is>
          <t>Partnership</t>
        </is>
      </c>
      <c r="H17" s="47" t="n">
        <v>2024</v>
      </c>
      <c r="I17" s="5" t="n">
        <v>2024</v>
      </c>
      <c r="J17" s="5" t="n">
        <v>1</v>
      </c>
      <c r="K17" s="5" t="n">
        <v>15</v>
      </c>
      <c r="L17" s="5" t="n">
        <v>313</v>
      </c>
      <c r="M17" s="118">
        <f>K17/L17</f>
        <v/>
      </c>
      <c r="N17" s="5" t="n"/>
      <c r="O17" s="49" t="n">
        <v>1500</v>
      </c>
      <c r="P17" s="5" t="inlineStr">
        <is>
          <t>NA</t>
        </is>
      </c>
      <c r="Q17" s="5" t="inlineStr">
        <is>
          <t>NA</t>
        </is>
      </c>
      <c r="R17" s="5" t="inlineStr">
        <is>
          <t>HR</t>
        </is>
      </c>
      <c r="S17" s="81" t="inlineStr">
        <is>
          <t xml:space="preserve">Public kindergarten </t>
        </is>
      </c>
      <c r="T17" s="81" t="n">
        <v>1</v>
      </c>
    </row>
    <row r="18" ht="31.5" customHeight="1">
      <c r="A18" s="2" t="inlineStr">
        <is>
          <t>CSR 16</t>
        </is>
      </c>
      <c r="B18" s="81" t="inlineStr">
        <is>
          <t>EE</t>
        </is>
      </c>
      <c r="C18" s="36" t="inlineStr">
        <is>
          <t>Romania</t>
        </is>
      </c>
      <c r="D18" s="35" t="inlineStr">
        <is>
          <t>Ploeisti</t>
        </is>
      </c>
      <c r="E18" s="50" t="inlineStr">
        <is>
          <t>Awareness-raising campaigns for mental health</t>
        </is>
      </c>
      <c r="F18" s="4" t="inlineStr">
        <is>
          <t>Health</t>
        </is>
      </c>
      <c r="G18" s="4" t="inlineStr">
        <is>
          <t>Others</t>
        </is>
      </c>
      <c r="H18" s="47" t="n">
        <v>2024</v>
      </c>
      <c r="I18" s="5" t="n">
        <v>2024</v>
      </c>
      <c r="J18" s="5" t="n">
        <v>1</v>
      </c>
      <c r="K18" s="5" t="n">
        <v>15</v>
      </c>
      <c r="L18" s="5" t="n">
        <v>313</v>
      </c>
      <c r="M18" s="118">
        <f>K18/L18</f>
        <v/>
      </c>
      <c r="N18" s="5" t="n"/>
      <c r="O18" s="5" t="n">
        <v>1000</v>
      </c>
      <c r="P18" s="5" t="inlineStr">
        <is>
          <t>NA</t>
        </is>
      </c>
      <c r="Q18" s="5" t="inlineStr">
        <is>
          <t>NA</t>
        </is>
      </c>
      <c r="R18" s="5" t="inlineStr">
        <is>
          <t>HR</t>
        </is>
      </c>
      <c r="S18" s="5" t="inlineStr">
        <is>
          <t>NA</t>
        </is>
      </c>
      <c r="T18" s="81" t="n">
        <v>0</v>
      </c>
    </row>
    <row r="19" ht="49.5" customHeight="1">
      <c r="A19" s="2" t="inlineStr">
        <is>
          <t>CSR 17</t>
        </is>
      </c>
      <c r="B19" s="81" t="inlineStr">
        <is>
          <t>EE</t>
        </is>
      </c>
      <c r="C19" s="36" t="inlineStr">
        <is>
          <t>Romania</t>
        </is>
      </c>
      <c r="D19" s="35" t="inlineStr">
        <is>
          <t>Ploeisti</t>
        </is>
      </c>
      <c r="E19" s="12" t="inlineStr">
        <is>
          <t>Support an association that is dedicated to helping women and children who are victims of abuse</t>
        </is>
      </c>
      <c r="F19" s="4" t="inlineStr">
        <is>
          <t>Social</t>
        </is>
      </c>
      <c r="G19" s="4" t="inlineStr">
        <is>
          <t>Charity/Donation</t>
        </is>
      </c>
      <c r="H19" s="47" t="n">
        <v>2024</v>
      </c>
      <c r="I19" s="5" t="n">
        <v>2024</v>
      </c>
      <c r="J19" s="5" t="n">
        <v>1</v>
      </c>
      <c r="K19" s="5" t="n">
        <v>4</v>
      </c>
      <c r="L19" s="5" t="n">
        <v>313</v>
      </c>
      <c r="M19" s="118">
        <f>K19/L19</f>
        <v/>
      </c>
      <c r="N19" s="5" t="n"/>
      <c r="O19" s="5" t="n">
        <v>1000</v>
      </c>
      <c r="P19" s="5" t="inlineStr">
        <is>
          <t xml:space="preserve">NA </t>
        </is>
      </c>
      <c r="Q19" s="5" t="inlineStr">
        <is>
          <t>NA</t>
        </is>
      </c>
      <c r="R19" s="5" t="inlineStr">
        <is>
          <t>HR</t>
        </is>
      </c>
      <c r="S19" s="5" t="inlineStr">
        <is>
          <t xml:space="preserve">Association to help Women and Children </t>
        </is>
      </c>
      <c r="T19" s="81" t="n">
        <v>1</v>
      </c>
    </row>
    <row r="20" ht="60" customHeight="1">
      <c r="A20" s="2" t="inlineStr">
        <is>
          <t>CSR 18</t>
        </is>
      </c>
      <c r="B20" s="81" t="inlineStr">
        <is>
          <t>EE</t>
        </is>
      </c>
      <c r="C20" s="36" t="inlineStr">
        <is>
          <t>Romania</t>
        </is>
      </c>
      <c r="D20" s="35" t="inlineStr">
        <is>
          <t>Ploeisti</t>
        </is>
      </c>
      <c r="E20" s="12" t="inlineStr">
        <is>
          <t>Collecting clothes from employees and together with the "Rescue Army" distributing them to needy families in our area</t>
        </is>
      </c>
      <c r="F20" s="4" t="inlineStr">
        <is>
          <t>Social</t>
        </is>
      </c>
      <c r="G20" s="4" t="inlineStr">
        <is>
          <t>Charity/Donation</t>
        </is>
      </c>
      <c r="H20" s="47" t="n">
        <v>2024</v>
      </c>
      <c r="I20" s="5" t="n">
        <v>2024</v>
      </c>
      <c r="J20" s="5">
        <f>2025-I20</f>
        <v/>
      </c>
      <c r="K20" s="5" t="n">
        <v>120</v>
      </c>
      <c r="L20" s="5" t="n">
        <v>313</v>
      </c>
      <c r="M20" s="118">
        <f>K20/L20</f>
        <v/>
      </c>
      <c r="N20" s="5" t="n"/>
      <c r="O20" s="5" t="n">
        <v>0</v>
      </c>
      <c r="P20" s="5" t="n">
        <v>0</v>
      </c>
      <c r="Q20" s="5" t="inlineStr">
        <is>
          <t>Clothes</t>
        </is>
      </c>
      <c r="R20" s="5" t="inlineStr">
        <is>
          <t>HR</t>
        </is>
      </c>
      <c r="S20" s="81" t="inlineStr">
        <is>
          <t>Association "Rescue Army"</t>
        </is>
      </c>
      <c r="T20" s="81" t="n">
        <v>1</v>
      </c>
    </row>
    <row r="21" ht="15" customHeight="1">
      <c r="A21" s="2" t="inlineStr">
        <is>
          <t>CSR 19</t>
        </is>
      </c>
      <c r="B21" s="81" t="inlineStr">
        <is>
          <t>EE</t>
        </is>
      </c>
      <c r="C21" s="36" t="inlineStr">
        <is>
          <t>Romania</t>
        </is>
      </c>
      <c r="D21" s="35" t="inlineStr">
        <is>
          <t>Ploeisti</t>
        </is>
      </c>
      <c r="E21" s="50" t="inlineStr">
        <is>
          <t>"Pink October" month, breast cancer awareness and prevention</t>
        </is>
      </c>
      <c r="F21" s="4" t="inlineStr">
        <is>
          <t>Health</t>
        </is>
      </c>
      <c r="G21" s="4" t="inlineStr">
        <is>
          <t>Partnership</t>
        </is>
      </c>
      <c r="H21" s="47" t="n">
        <v>2024</v>
      </c>
      <c r="I21" s="5" t="n">
        <v>2024</v>
      </c>
      <c r="J21" s="5" t="n">
        <v>1</v>
      </c>
      <c r="K21" s="5" t="n">
        <v>70</v>
      </c>
      <c r="L21" s="5" t="n">
        <v>313</v>
      </c>
      <c r="M21" s="118">
        <f>K21/L21</f>
        <v/>
      </c>
      <c r="N21" s="5" t="n"/>
      <c r="O21" s="5" t="n">
        <v>3300</v>
      </c>
      <c r="P21" s="5" t="inlineStr">
        <is>
          <t>NA</t>
        </is>
      </c>
      <c r="Q21" s="5" t="inlineStr">
        <is>
          <t>NA</t>
        </is>
      </c>
      <c r="R21" s="5" t="inlineStr">
        <is>
          <t>HR</t>
        </is>
      </c>
      <c r="S21" s="81" t="inlineStr">
        <is>
          <t>NA</t>
        </is>
      </c>
      <c r="T21" s="81" t="n">
        <v>0</v>
      </c>
    </row>
    <row r="22" ht="30" customHeight="1">
      <c r="A22" s="2" t="inlineStr">
        <is>
          <t>CSR 20</t>
        </is>
      </c>
      <c r="B22" s="81" t="inlineStr">
        <is>
          <t>EE</t>
        </is>
      </c>
      <c r="C22" s="36" t="inlineStr">
        <is>
          <t>Romania</t>
        </is>
      </c>
      <c r="D22" s="35" t="inlineStr">
        <is>
          <t>Ploeisti</t>
        </is>
      </c>
      <c r="E22" s="12" t="inlineStr">
        <is>
          <t>Financial and material support to the Elie Radu Energy High</t>
        </is>
      </c>
      <c r="F22" s="4" t="inlineStr">
        <is>
          <t>Education</t>
        </is>
      </c>
      <c r="G22" s="4" t="inlineStr">
        <is>
          <t>Sponsorship</t>
        </is>
      </c>
      <c r="H22" s="47" t="n">
        <v>2024</v>
      </c>
      <c r="I22" s="5" t="n">
        <v>2024</v>
      </c>
      <c r="J22" s="5" t="n">
        <v>1</v>
      </c>
      <c r="K22" s="5" t="n">
        <v>4</v>
      </c>
      <c r="L22" s="5" t="n">
        <v>313</v>
      </c>
      <c r="M22" s="118">
        <f>K22/L22</f>
        <v/>
      </c>
      <c r="N22" s="5" t="n"/>
      <c r="O22" s="5" t="n">
        <v>1000</v>
      </c>
      <c r="P22" s="5" t="inlineStr">
        <is>
          <t>NA</t>
        </is>
      </c>
      <c r="Q22" s="5" t="inlineStr">
        <is>
          <t>NA</t>
        </is>
      </c>
      <c r="R22" s="5" t="inlineStr">
        <is>
          <t>HR</t>
        </is>
      </c>
      <c r="S22" s="81" t="inlineStr">
        <is>
          <t>Eli Radu Energy High School</t>
        </is>
      </c>
      <c r="T22" s="81" t="n">
        <v>1</v>
      </c>
    </row>
    <row r="23" ht="30" customHeight="1">
      <c r="A23" s="2" t="inlineStr">
        <is>
          <t>CSR 21</t>
        </is>
      </c>
      <c r="B23" s="81" t="inlineStr">
        <is>
          <t>EE</t>
        </is>
      </c>
      <c r="C23" s="36" t="inlineStr">
        <is>
          <t>Romania</t>
        </is>
      </c>
      <c r="D23" s="35" t="inlineStr">
        <is>
          <t>Ploeisti</t>
        </is>
      </c>
      <c r="E23" s="12" t="inlineStr">
        <is>
          <t>Collecting clothes from employees and distributing them to DGASPC</t>
        </is>
      </c>
      <c r="F23" s="4" t="inlineStr">
        <is>
          <t>Social</t>
        </is>
      </c>
      <c r="G23" s="4" t="inlineStr">
        <is>
          <t>Charity/Donation</t>
        </is>
      </c>
      <c r="H23" s="47" t="n">
        <v>2024</v>
      </c>
      <c r="I23" s="5" t="n">
        <v>2024</v>
      </c>
      <c r="J23" s="5" t="n">
        <v>1</v>
      </c>
      <c r="K23" s="5" t="n">
        <v>80</v>
      </c>
      <c r="L23" s="5" t="n">
        <v>313</v>
      </c>
      <c r="M23" s="118">
        <f>K23/L23</f>
        <v/>
      </c>
      <c r="N23" s="5" t="n"/>
      <c r="O23" s="5" t="n">
        <v>0</v>
      </c>
      <c r="P23" s="5" t="inlineStr">
        <is>
          <t>NA</t>
        </is>
      </c>
      <c r="Q23" s="5" t="inlineStr">
        <is>
          <t>NA</t>
        </is>
      </c>
      <c r="R23" s="5" t="inlineStr">
        <is>
          <t>HR</t>
        </is>
      </c>
      <c r="S23" s="81" t="inlineStr">
        <is>
          <t>DGASPC</t>
        </is>
      </c>
      <c r="T23" s="81" t="n">
        <v>1</v>
      </c>
    </row>
    <row r="24" ht="15" customHeight="1">
      <c r="A24" s="2" t="inlineStr">
        <is>
          <t>CSR 22</t>
        </is>
      </c>
      <c r="B24" s="81" t="inlineStr">
        <is>
          <t>EE</t>
        </is>
      </c>
      <c r="C24" s="36" t="inlineStr">
        <is>
          <t>Romania</t>
        </is>
      </c>
      <c r="D24" s="35" t="inlineStr">
        <is>
          <t>Ploeisti</t>
        </is>
      </c>
      <c r="E24" s="3" t="inlineStr">
        <is>
          <t>Partnership with NGO for social cases</t>
        </is>
      </c>
      <c r="F24" s="4" t="inlineStr">
        <is>
          <t>Social</t>
        </is>
      </c>
      <c r="G24" s="4" t="inlineStr">
        <is>
          <t>Charity/Donation</t>
        </is>
      </c>
      <c r="H24" s="47" t="n">
        <v>2024</v>
      </c>
      <c r="I24" s="5" t="n">
        <v>2024</v>
      </c>
      <c r="J24" s="5" t="n">
        <v>1</v>
      </c>
      <c r="K24" s="5" t="n">
        <v>20</v>
      </c>
      <c r="L24" s="5" t="n">
        <v>313</v>
      </c>
      <c r="M24" s="118">
        <f>K24/L24</f>
        <v/>
      </c>
      <c r="N24" s="5" t="n"/>
      <c r="O24" s="5" t="n">
        <v>1000</v>
      </c>
      <c r="P24" s="5" t="inlineStr">
        <is>
          <t>NA</t>
        </is>
      </c>
      <c r="Q24" s="5" t="inlineStr">
        <is>
          <t>NA</t>
        </is>
      </c>
      <c r="R24" s="5" t="inlineStr">
        <is>
          <t>HR</t>
        </is>
      </c>
      <c r="S24" s="81" t="inlineStr">
        <is>
          <t>NGO</t>
        </is>
      </c>
      <c r="T24" s="81" t="n">
        <v>1</v>
      </c>
    </row>
    <row r="25" ht="15" customHeight="1">
      <c r="A25" s="2" t="inlineStr">
        <is>
          <t>CSR 23</t>
        </is>
      </c>
      <c r="B25" s="81" t="inlineStr">
        <is>
          <t>EE</t>
        </is>
      </c>
      <c r="C25" s="36" t="inlineStr">
        <is>
          <t>Romania</t>
        </is>
      </c>
      <c r="D25" s="35" t="inlineStr">
        <is>
          <t>Ploeisti</t>
        </is>
      </c>
      <c r="E25" s="3" t="inlineStr">
        <is>
          <t xml:space="preserve">Battery Recycling </t>
        </is>
      </c>
      <c r="F25" s="4" t="inlineStr">
        <is>
          <t>Environment</t>
        </is>
      </c>
      <c r="G25" s="4" t="inlineStr">
        <is>
          <t>Others</t>
        </is>
      </c>
      <c r="H25" s="47" t="n">
        <v>2024</v>
      </c>
      <c r="I25" s="49" t="n">
        <v>2024</v>
      </c>
      <c r="J25" s="5" t="n">
        <v>1</v>
      </c>
      <c r="K25" s="5" t="n">
        <v>150</v>
      </c>
      <c r="L25" s="5" t="n">
        <v>313</v>
      </c>
      <c r="M25" s="118">
        <f>K25/L25</f>
        <v/>
      </c>
      <c r="N25" s="5" t="n"/>
      <c r="O25" s="5" t="n">
        <v>0</v>
      </c>
      <c r="P25" s="5" t="inlineStr">
        <is>
          <t>NA</t>
        </is>
      </c>
      <c r="Q25" s="5" t="inlineStr">
        <is>
          <t>NA</t>
        </is>
      </c>
      <c r="R25" s="5" t="inlineStr">
        <is>
          <t>HR</t>
        </is>
      </c>
      <c r="S25" s="81" t="inlineStr">
        <is>
          <t>NA</t>
        </is>
      </c>
      <c r="T25" s="81" t="n">
        <v>0</v>
      </c>
    </row>
    <row r="26" ht="15" customHeight="1">
      <c r="A26" s="2" t="inlineStr">
        <is>
          <t>CSR 24</t>
        </is>
      </c>
      <c r="B26" s="81" t="inlineStr">
        <is>
          <t>EE</t>
        </is>
      </c>
      <c r="C26" s="36" t="inlineStr">
        <is>
          <t>Romania</t>
        </is>
      </c>
      <c r="D26" s="35" t="inlineStr">
        <is>
          <t>Ploeisti</t>
        </is>
      </c>
      <c r="E26" s="3" t="inlineStr">
        <is>
          <t>Cap for Handicap</t>
        </is>
      </c>
      <c r="F26" s="4" t="inlineStr">
        <is>
          <t>Social</t>
        </is>
      </c>
      <c r="G26" s="4" t="inlineStr">
        <is>
          <t>Charity/Donation</t>
        </is>
      </c>
      <c r="H26" s="47" t="n">
        <v>2024</v>
      </c>
      <c r="I26" s="5" t="n">
        <v>2024</v>
      </c>
      <c r="J26" s="5" t="n">
        <v>1</v>
      </c>
      <c r="K26" s="47" t="n">
        <v>300</v>
      </c>
      <c r="L26" s="5" t="n">
        <v>313</v>
      </c>
      <c r="M26" s="118">
        <f>K26/L26</f>
        <v/>
      </c>
      <c r="N26" s="5" t="n"/>
      <c r="O26" s="5" t="n">
        <v>0</v>
      </c>
      <c r="P26" s="5" t="inlineStr">
        <is>
          <t>NA</t>
        </is>
      </c>
      <c r="Q26" s="5" t="inlineStr">
        <is>
          <t>NA</t>
        </is>
      </c>
      <c r="R26" s="5" t="inlineStr">
        <is>
          <t>HR</t>
        </is>
      </c>
      <c r="S26" s="81" t="inlineStr">
        <is>
          <t>NA</t>
        </is>
      </c>
      <c r="T26" s="81" t="n">
        <v>0</v>
      </c>
    </row>
    <row r="27" ht="30" customHeight="1">
      <c r="A27" s="2" t="inlineStr">
        <is>
          <t>CSR 25</t>
        </is>
      </c>
      <c r="B27" s="81" t="inlineStr">
        <is>
          <t>EE</t>
        </is>
      </c>
      <c r="C27" s="36" t="inlineStr">
        <is>
          <t>Romania</t>
        </is>
      </c>
      <c r="D27" s="35" t="inlineStr">
        <is>
          <t>Ploeisti</t>
        </is>
      </c>
      <c r="E27" s="12" t="inlineStr">
        <is>
          <t>Creativity Campaign- reuse of recyclable materials</t>
        </is>
      </c>
      <c r="F27" s="4" t="inlineStr">
        <is>
          <t>Environment</t>
        </is>
      </c>
      <c r="G27" s="4" t="inlineStr">
        <is>
          <t>Partnership</t>
        </is>
      </c>
      <c r="H27" s="47" t="n">
        <v>2024</v>
      </c>
      <c r="I27" s="5" t="n">
        <v>2024</v>
      </c>
      <c r="J27" s="5" t="n">
        <v>1</v>
      </c>
      <c r="K27" s="5" t="n">
        <v>17</v>
      </c>
      <c r="L27" s="5" t="n">
        <v>313</v>
      </c>
      <c r="M27" s="118">
        <f>K27/L27</f>
        <v/>
      </c>
      <c r="N27" s="5" t="n"/>
      <c r="O27" s="5" t="n">
        <v>1000</v>
      </c>
      <c r="P27" s="5" t="inlineStr">
        <is>
          <t>NA</t>
        </is>
      </c>
      <c r="Q27" s="5" t="inlineStr">
        <is>
          <t>NA</t>
        </is>
      </c>
      <c r="R27" s="5" t="inlineStr">
        <is>
          <t>HR</t>
        </is>
      </c>
      <c r="S27" s="81" t="inlineStr">
        <is>
          <t>Kindergarten</t>
        </is>
      </c>
      <c r="T27" s="81" t="n">
        <v>1</v>
      </c>
    </row>
    <row r="28">
      <c r="A28" s="2" t="inlineStr">
        <is>
          <t>CSR 26</t>
        </is>
      </c>
      <c r="B28" s="81" t="inlineStr">
        <is>
          <t>EE</t>
        </is>
      </c>
      <c r="C28" s="36" t="inlineStr">
        <is>
          <t>Romania</t>
        </is>
      </c>
      <c r="D28" s="35" t="inlineStr">
        <is>
          <t>Ploeisti</t>
        </is>
      </c>
      <c r="E28" s="12" t="inlineStr">
        <is>
          <t xml:space="preserve">Environmental awareness for kids </t>
        </is>
      </c>
      <c r="F28" s="4" t="inlineStr">
        <is>
          <t>Environment</t>
        </is>
      </c>
      <c r="G28" s="4" t="inlineStr">
        <is>
          <t>Partnership</t>
        </is>
      </c>
      <c r="H28" s="47" t="n">
        <v>2024</v>
      </c>
      <c r="I28" s="5" t="n">
        <v>2024</v>
      </c>
      <c r="J28" s="5" t="n">
        <v>1</v>
      </c>
      <c r="K28" s="5" t="n">
        <v>17</v>
      </c>
      <c r="L28" s="5" t="n">
        <v>313</v>
      </c>
      <c r="M28" s="118">
        <f>K28/L28</f>
        <v/>
      </c>
      <c r="N28" s="5" t="n"/>
      <c r="O28" s="5" t="n">
        <v>1500</v>
      </c>
      <c r="P28" s="5" t="inlineStr">
        <is>
          <t>NA</t>
        </is>
      </c>
      <c r="Q28" s="5" t="inlineStr">
        <is>
          <t>NA</t>
        </is>
      </c>
      <c r="R28" s="5" t="inlineStr">
        <is>
          <t>HR</t>
        </is>
      </c>
      <c r="S28" s="81" t="inlineStr">
        <is>
          <t>Kindergarten</t>
        </is>
      </c>
      <c r="T28" s="81" t="n">
        <v>1</v>
      </c>
    </row>
    <row r="29" ht="34.5" customHeight="1">
      <c r="A29" s="2" t="inlineStr">
        <is>
          <t>CSR 27</t>
        </is>
      </c>
      <c r="B29" s="81" t="inlineStr">
        <is>
          <t>EE</t>
        </is>
      </c>
      <c r="C29" s="80" t="inlineStr">
        <is>
          <t>Romania</t>
        </is>
      </c>
      <c r="D29" s="35" t="inlineStr">
        <is>
          <t>Ploeisti</t>
        </is>
      </c>
      <c r="E29" s="12" t="inlineStr">
        <is>
          <t>Tree plantation activity</t>
        </is>
      </c>
      <c r="F29" s="4" t="inlineStr">
        <is>
          <t>Environment</t>
        </is>
      </c>
      <c r="G29" s="4" t="inlineStr">
        <is>
          <t>Partnership</t>
        </is>
      </c>
      <c r="H29" s="47" t="n">
        <v>2024</v>
      </c>
      <c r="I29" s="5" t="n">
        <v>2024</v>
      </c>
      <c r="J29" s="5" t="n">
        <v>1</v>
      </c>
      <c r="K29" s="5" t="n">
        <v>13</v>
      </c>
      <c r="L29" s="5" t="n">
        <v>313</v>
      </c>
      <c r="M29" s="118">
        <f>K29/L29</f>
        <v/>
      </c>
      <c r="N29" s="5" t="n"/>
      <c r="O29" s="5" t="n">
        <v>2000</v>
      </c>
      <c r="P29" s="5" t="n">
        <v>50</v>
      </c>
      <c r="Q29" s="5" t="inlineStr">
        <is>
          <t>Trees</t>
        </is>
      </c>
      <c r="R29" s="5" t="inlineStr">
        <is>
          <t>HR</t>
        </is>
      </c>
      <c r="S29" s="81" t="inlineStr">
        <is>
          <t>Kindergarten</t>
        </is>
      </c>
      <c r="T29" s="81" t="n">
        <v>1</v>
      </c>
    </row>
    <row r="30" ht="18.75" customHeight="1">
      <c r="A30" s="2" t="inlineStr">
        <is>
          <t>CSR 28</t>
        </is>
      </c>
      <c r="B30" s="81" t="inlineStr">
        <is>
          <t>EE</t>
        </is>
      </c>
      <c r="C30" s="80" t="inlineStr">
        <is>
          <t>Romania</t>
        </is>
      </c>
      <c r="D30" s="35" t="inlineStr">
        <is>
          <t>Ploeisti</t>
        </is>
      </c>
      <c r="E30" s="3" t="inlineStr">
        <is>
          <t>World clean up Day</t>
        </is>
      </c>
      <c r="F30" s="4" t="inlineStr">
        <is>
          <t>Environment</t>
        </is>
      </c>
      <c r="G30" s="4" t="inlineStr">
        <is>
          <t>Others</t>
        </is>
      </c>
      <c r="H30" s="47" t="n">
        <v>2024</v>
      </c>
      <c r="I30" s="5" t="n">
        <v>2024</v>
      </c>
      <c r="J30" s="5" t="n">
        <v>1</v>
      </c>
      <c r="K30" s="5" t="n">
        <v>20</v>
      </c>
      <c r="L30" s="5" t="n">
        <v>313</v>
      </c>
      <c r="M30" s="118">
        <f>K30/L30</f>
        <v/>
      </c>
      <c r="N30" s="5" t="n"/>
      <c r="O30" s="5" t="n">
        <v>1500</v>
      </c>
      <c r="P30" s="5" t="inlineStr">
        <is>
          <t>NA</t>
        </is>
      </c>
      <c r="Q30" s="5" t="inlineStr">
        <is>
          <t>NA</t>
        </is>
      </c>
      <c r="R30" s="5" t="inlineStr">
        <is>
          <t>HR</t>
        </is>
      </c>
      <c r="S30" s="5" t="inlineStr">
        <is>
          <t>NA</t>
        </is>
      </c>
      <c r="T30" s="81" t="n">
        <v>0</v>
      </c>
    </row>
    <row r="31" ht="23.25" customHeight="1">
      <c r="A31" s="2" t="inlineStr">
        <is>
          <t>CSR 29</t>
        </is>
      </c>
      <c r="B31" s="81" t="inlineStr">
        <is>
          <t>EE</t>
        </is>
      </c>
      <c r="C31" s="80" t="inlineStr">
        <is>
          <t>Romania</t>
        </is>
      </c>
      <c r="D31" s="33" t="inlineStr">
        <is>
          <t>Romania</t>
        </is>
      </c>
      <c r="E31" s="3" t="inlineStr">
        <is>
          <t>Donations for the Karate Club</t>
        </is>
      </c>
      <c r="F31" s="4" t="inlineStr">
        <is>
          <t>Sports</t>
        </is>
      </c>
      <c r="G31" s="4" t="inlineStr">
        <is>
          <t>Charity/Donation</t>
        </is>
      </c>
      <c r="H31" s="47" t="n">
        <v>2024</v>
      </c>
      <c r="I31" s="5" t="n">
        <v>2024</v>
      </c>
      <c r="J31" s="5" t="n">
        <v>1</v>
      </c>
      <c r="K31" s="5" t="n">
        <v>2</v>
      </c>
      <c r="L31" s="5" t="n">
        <v>314</v>
      </c>
      <c r="M31" s="118">
        <f>K31/L31</f>
        <v/>
      </c>
      <c r="N31" s="5" t="n"/>
      <c r="O31" s="5" t="n">
        <v>1000</v>
      </c>
      <c r="P31" s="47" t="inlineStr">
        <is>
          <t>NA</t>
        </is>
      </c>
      <c r="Q31" s="5" t="inlineStr">
        <is>
          <t>NA</t>
        </is>
      </c>
      <c r="R31" s="5" t="inlineStr">
        <is>
          <t>HR</t>
        </is>
      </c>
      <c r="S31" s="5" t="inlineStr">
        <is>
          <t>Children Gym</t>
        </is>
      </c>
      <c r="T31" s="81" t="n">
        <v>1</v>
      </c>
    </row>
    <row r="32" ht="43.5" customHeight="1">
      <c r="A32" s="2" t="inlineStr">
        <is>
          <t>CSR 30</t>
        </is>
      </c>
      <c r="B32" s="81" t="inlineStr">
        <is>
          <t>EE</t>
        </is>
      </c>
      <c r="C32" s="80" t="inlineStr">
        <is>
          <t>Romania</t>
        </is>
      </c>
      <c r="D32" s="33" t="inlineStr">
        <is>
          <t>Romania</t>
        </is>
      </c>
      <c r="E32" s="12" t="inlineStr">
        <is>
          <t>Donation to an association for abused women&amp; children</t>
        </is>
      </c>
      <c r="F32" s="4" t="inlineStr">
        <is>
          <t>Social</t>
        </is>
      </c>
      <c r="G32" s="4" t="inlineStr">
        <is>
          <t>Charity/Donation</t>
        </is>
      </c>
      <c r="H32" s="47" t="n">
        <v>2024</v>
      </c>
      <c r="I32" s="5" t="n">
        <v>2024</v>
      </c>
      <c r="J32" s="5" t="n">
        <v>1</v>
      </c>
      <c r="K32" s="5" t="n">
        <v>25</v>
      </c>
      <c r="L32" s="5" t="n">
        <v>314</v>
      </c>
      <c r="M32" s="118">
        <f>K32/L32</f>
        <v/>
      </c>
      <c r="N32" s="5" t="n"/>
      <c r="O32" s="5" t="n">
        <v>1000</v>
      </c>
      <c r="P32" s="5" t="inlineStr">
        <is>
          <t>NA</t>
        </is>
      </c>
      <c r="Q32" s="5" t="inlineStr">
        <is>
          <t>NA</t>
        </is>
      </c>
      <c r="R32" s="5" t="inlineStr">
        <is>
          <t>HR</t>
        </is>
      </c>
      <c r="S32" s="5" t="inlineStr">
        <is>
          <t xml:space="preserve">The General Directorate of Social Assistance and Child Protection Arad (DGASPC) </t>
        </is>
      </c>
      <c r="T32" s="81" t="n">
        <v>2</v>
      </c>
    </row>
    <row r="33" ht="33.75" customHeight="1">
      <c r="A33" s="2" t="inlineStr">
        <is>
          <t>CSR 31</t>
        </is>
      </c>
      <c r="B33" s="81" t="inlineStr">
        <is>
          <t>EE</t>
        </is>
      </c>
      <c r="C33" s="80" t="inlineStr">
        <is>
          <t>Romania</t>
        </is>
      </c>
      <c r="D33" s="33" t="inlineStr">
        <is>
          <t>Romania</t>
        </is>
      </c>
      <c r="E33" s="12" t="inlineStr">
        <is>
          <t>Robotic Teams Sponsorship</t>
        </is>
      </c>
      <c r="F33" s="4" t="inlineStr">
        <is>
          <t>Education</t>
        </is>
      </c>
      <c r="G33" s="4" t="inlineStr">
        <is>
          <t>Sponsorship</t>
        </is>
      </c>
      <c r="H33" s="47" t="n">
        <v>2024</v>
      </c>
      <c r="I33" s="5" t="n">
        <v>2024</v>
      </c>
      <c r="J33" s="5" t="n">
        <v>1</v>
      </c>
      <c r="K33" s="5" t="n">
        <v>2</v>
      </c>
      <c r="L33" s="5" t="n">
        <v>314</v>
      </c>
      <c r="M33" s="118">
        <f>K33/L33</f>
        <v/>
      </c>
      <c r="N33" s="5" t="n"/>
      <c r="O33" s="5" t="n">
        <v>1500</v>
      </c>
      <c r="P33" s="5" t="n">
        <v>11</v>
      </c>
      <c r="Q33" s="5" t="inlineStr">
        <is>
          <t>Students</t>
        </is>
      </c>
      <c r="R33" s="5" t="inlineStr">
        <is>
          <t>HR</t>
        </is>
      </c>
      <c r="S33" s="5" t="inlineStr">
        <is>
          <t>Highscool robotics team</t>
        </is>
      </c>
      <c r="T33" s="81" t="n">
        <v>1</v>
      </c>
    </row>
    <row r="34" ht="33.75" customHeight="1">
      <c r="A34" s="2" t="inlineStr">
        <is>
          <t>CSR 32</t>
        </is>
      </c>
      <c r="B34" s="81" t="inlineStr">
        <is>
          <t>EE</t>
        </is>
      </c>
      <c r="C34" s="80" t="inlineStr">
        <is>
          <t>Romania</t>
        </is>
      </c>
      <c r="D34" s="33" t="inlineStr">
        <is>
          <t>Romania</t>
        </is>
      </c>
      <c r="E34" s="50" t="inlineStr">
        <is>
          <t>RECYCLE &amp; CREATE – Eco-friendly art</t>
        </is>
      </c>
      <c r="F34" s="4" t="inlineStr">
        <is>
          <t>Environment</t>
        </is>
      </c>
      <c r="G34" s="4" t="inlineStr">
        <is>
          <t>Others</t>
        </is>
      </c>
      <c r="H34" s="47" t="n">
        <v>2024</v>
      </c>
      <c r="I34" s="5" t="n">
        <v>2024</v>
      </c>
      <c r="J34" s="5" t="n">
        <v>1</v>
      </c>
      <c r="K34" s="5" t="n">
        <v>39</v>
      </c>
      <c r="L34" s="5" t="n">
        <v>314</v>
      </c>
      <c r="M34" s="118">
        <f>K34/L34</f>
        <v/>
      </c>
      <c r="N34" s="5" t="n"/>
      <c r="O34" s="5" t="n">
        <v>1500</v>
      </c>
      <c r="P34" s="5" t="inlineStr">
        <is>
          <t xml:space="preserve">NA </t>
        </is>
      </c>
      <c r="Q34" s="5" t="inlineStr">
        <is>
          <t>NA</t>
        </is>
      </c>
      <c r="R34" s="5" t="inlineStr">
        <is>
          <t>EHS</t>
        </is>
      </c>
      <c r="S34" s="5" t="inlineStr">
        <is>
          <t>Internal</t>
        </is>
      </c>
      <c r="T34" s="81" t="n">
        <v>0</v>
      </c>
    </row>
    <row r="35" ht="30" customHeight="1">
      <c r="A35" s="2" t="inlineStr">
        <is>
          <t>CSR 33</t>
        </is>
      </c>
      <c r="B35" s="81" t="inlineStr">
        <is>
          <t>EE</t>
        </is>
      </c>
      <c r="C35" s="80" t="inlineStr">
        <is>
          <t>Romania</t>
        </is>
      </c>
      <c r="D35" s="33" t="inlineStr">
        <is>
          <t>Romania</t>
        </is>
      </c>
      <c r="E35" s="3" t="inlineStr">
        <is>
          <t>Donation of medical masks</t>
        </is>
      </c>
      <c r="F35" s="4" t="inlineStr">
        <is>
          <t>Health</t>
        </is>
      </c>
      <c r="G35" s="4" t="inlineStr">
        <is>
          <t>Charity/Donation</t>
        </is>
      </c>
      <c r="H35" s="47" t="n">
        <v>2024</v>
      </c>
      <c r="I35" s="5" t="n">
        <v>2024</v>
      </c>
      <c r="J35" s="5" t="n">
        <v>1</v>
      </c>
      <c r="K35" s="5" t="n">
        <v>5</v>
      </c>
      <c r="L35" s="5" t="n">
        <v>314</v>
      </c>
      <c r="M35" s="118">
        <f>K35/L35</f>
        <v/>
      </c>
      <c r="N35" s="5" t="n"/>
      <c r="O35" s="5" t="n">
        <v>560</v>
      </c>
      <c r="P35" s="5" t="inlineStr">
        <is>
          <t>NA</t>
        </is>
      </c>
      <c r="Q35" s="5" t="inlineStr">
        <is>
          <t>Masks</t>
        </is>
      </c>
      <c r="R35" s="5" t="inlineStr">
        <is>
          <t>EHS</t>
        </is>
      </c>
      <c r="S35" s="5" t="inlineStr">
        <is>
          <t>Arad Clinical Hospital</t>
        </is>
      </c>
      <c r="T35" s="81" t="n">
        <v>1</v>
      </c>
    </row>
    <row r="36" ht="36.75" customHeight="1">
      <c r="A36" s="2" t="inlineStr">
        <is>
          <t>CSR 34</t>
        </is>
      </c>
      <c r="B36" s="81" t="inlineStr">
        <is>
          <t>EE</t>
        </is>
      </c>
      <c r="C36" s="80" t="inlineStr">
        <is>
          <t>Romania</t>
        </is>
      </c>
      <c r="D36" s="33" t="inlineStr">
        <is>
          <t>Romania</t>
        </is>
      </c>
      <c r="E36" s="12" t="inlineStr">
        <is>
          <t>Clean Up Day - World Environment Day - 2024</t>
        </is>
      </c>
      <c r="F36" s="4" t="inlineStr">
        <is>
          <t>Environment</t>
        </is>
      </c>
      <c r="G36" s="4" t="inlineStr">
        <is>
          <t>Others</t>
        </is>
      </c>
      <c r="H36" s="47" t="n">
        <v>2024</v>
      </c>
      <c r="I36" s="5" t="n">
        <v>2024</v>
      </c>
      <c r="J36" s="5" t="n">
        <v>1</v>
      </c>
      <c r="K36" s="5" t="n">
        <v>62</v>
      </c>
      <c r="L36" s="5" t="n">
        <v>314</v>
      </c>
      <c r="M36" s="118">
        <f>K36/L36</f>
        <v/>
      </c>
      <c r="N36" s="5" t="n"/>
      <c r="O36" s="5" t="n">
        <v>2000</v>
      </c>
      <c r="P36" s="5" t="inlineStr">
        <is>
          <t>NA</t>
        </is>
      </c>
      <c r="Q36" s="5" t="inlineStr">
        <is>
          <t>NA</t>
        </is>
      </c>
      <c r="R36" s="5" t="inlineStr">
        <is>
          <t>EHS</t>
        </is>
      </c>
      <c r="S36" s="5" t="inlineStr">
        <is>
          <t>Internal</t>
        </is>
      </c>
      <c r="T36" s="81" t="n">
        <v>0</v>
      </c>
    </row>
    <row r="37" ht="27.75" customHeight="1">
      <c r="A37" s="2" t="inlineStr">
        <is>
          <t>CSR 35</t>
        </is>
      </c>
      <c r="B37" s="81" t="inlineStr">
        <is>
          <t>EE</t>
        </is>
      </c>
      <c r="C37" s="80" t="inlineStr">
        <is>
          <t>Romania</t>
        </is>
      </c>
      <c r="D37" s="33" t="inlineStr">
        <is>
          <t>Romania</t>
        </is>
      </c>
      <c r="E37" s="4" t="inlineStr">
        <is>
          <t>Environmental Awareness for employees' kids</t>
        </is>
      </c>
      <c r="F37" s="12" t="inlineStr">
        <is>
          <t>Environment</t>
        </is>
      </c>
      <c r="G37" s="12" t="inlineStr">
        <is>
          <t>Others</t>
        </is>
      </c>
      <c r="H37" s="47" t="n">
        <v>2024</v>
      </c>
      <c r="I37" s="5" t="n">
        <v>2024</v>
      </c>
      <c r="J37" s="5" t="n">
        <v>1</v>
      </c>
      <c r="K37" s="5" t="n">
        <v>40</v>
      </c>
      <c r="L37" s="5" t="n">
        <v>314</v>
      </c>
      <c r="M37" s="118">
        <f>K37/L37</f>
        <v/>
      </c>
      <c r="N37" s="5" t="n"/>
      <c r="O37" s="5" t="n">
        <v>1500</v>
      </c>
      <c r="P37" s="5" t="inlineStr">
        <is>
          <t>NA</t>
        </is>
      </c>
      <c r="Q37" s="5" t="inlineStr">
        <is>
          <t>Trees</t>
        </is>
      </c>
      <c r="R37" s="5" t="inlineStr">
        <is>
          <t>EHS</t>
        </is>
      </c>
      <c r="S37" s="81" t="inlineStr">
        <is>
          <t>Internal</t>
        </is>
      </c>
      <c r="T37" s="81" t="n">
        <v>0</v>
      </c>
    </row>
    <row r="38" ht="21" customHeight="1">
      <c r="A38" s="113" t="inlineStr">
        <is>
          <t>CSR 36</t>
        </is>
      </c>
      <c r="B38" s="81" t="inlineStr">
        <is>
          <t>EE</t>
        </is>
      </c>
      <c r="C38" s="80" t="inlineStr">
        <is>
          <t>Romania</t>
        </is>
      </c>
      <c r="D38" s="33" t="inlineStr">
        <is>
          <t>Romania</t>
        </is>
      </c>
      <c r="E38" s="17" t="inlineStr">
        <is>
          <t>Antidrug awarness Campaign - 2024</t>
        </is>
      </c>
      <c r="F38" s="33" t="inlineStr">
        <is>
          <t>Health</t>
        </is>
      </c>
      <c r="G38" s="12" t="inlineStr">
        <is>
          <t>Others</t>
        </is>
      </c>
      <c r="H38" s="47" t="n">
        <v>2024</v>
      </c>
      <c r="I38" s="5" t="n">
        <v>2024</v>
      </c>
      <c r="J38" s="5" t="n">
        <v>1</v>
      </c>
      <c r="K38" s="4" t="n">
        <v>112</v>
      </c>
      <c r="L38" s="5" t="n">
        <v>314</v>
      </c>
      <c r="M38" s="118">
        <f>K38/L38</f>
        <v/>
      </c>
      <c r="N38" s="5" t="n"/>
      <c r="O38" s="4" t="n">
        <v>2000</v>
      </c>
      <c r="P38" s="5" t="inlineStr">
        <is>
          <t>NA</t>
        </is>
      </c>
      <c r="Q38" s="5" t="inlineStr">
        <is>
          <t>NA</t>
        </is>
      </c>
      <c r="R38" s="5" t="inlineStr">
        <is>
          <t>HR</t>
        </is>
      </c>
      <c r="S38" s="5" t="inlineStr">
        <is>
          <t>Internal</t>
        </is>
      </c>
      <c r="T38" s="114" t="n">
        <v>0</v>
      </c>
    </row>
    <row r="39" ht="15" customHeight="1">
      <c r="A39" s="2" t="inlineStr">
        <is>
          <t>CSR 37</t>
        </is>
      </c>
      <c r="B39" s="81" t="inlineStr">
        <is>
          <t>EE</t>
        </is>
      </c>
      <c r="C39" s="80" t="inlineStr">
        <is>
          <t>Romania</t>
        </is>
      </c>
      <c r="D39" s="33" t="inlineStr">
        <is>
          <t>Romania</t>
        </is>
      </c>
      <c r="E39" s="36" t="inlineStr">
        <is>
          <t>Elderly Care Center Visit</t>
        </is>
      </c>
      <c r="F39" s="33" t="inlineStr">
        <is>
          <t>Education</t>
        </is>
      </c>
      <c r="G39" s="38" t="inlineStr">
        <is>
          <t>Charity/Donation</t>
        </is>
      </c>
      <c r="H39" s="47" t="n">
        <v>2024</v>
      </c>
      <c r="I39" s="89" t="n">
        <v>2024</v>
      </c>
      <c r="J39" s="89" t="n"/>
      <c r="K39" s="38" t="n">
        <v>199</v>
      </c>
      <c r="L39" s="5" t="n">
        <v>314</v>
      </c>
      <c r="M39" s="118">
        <f>K39/L39</f>
        <v/>
      </c>
      <c r="N39" s="5" t="n">
        <v>1000</v>
      </c>
      <c r="O39" s="38" t="n">
        <v>911</v>
      </c>
      <c r="P39" s="89" t="n">
        <v>81</v>
      </c>
      <c r="Q39" s="5" t="inlineStr">
        <is>
          <t>Students benefited</t>
        </is>
      </c>
      <c r="R39" s="5" t="inlineStr">
        <is>
          <t>HR</t>
        </is>
      </c>
      <c r="S39" s="14" t="inlineStr">
        <is>
          <t>Local Municipality</t>
        </is>
      </c>
      <c r="T39" s="114" t="n">
        <v>2</v>
      </c>
    </row>
    <row r="40" ht="15" customHeight="1">
      <c r="A40" s="119" t="inlineStr">
        <is>
          <t>CSR 37</t>
        </is>
      </c>
      <c r="B40" s="81" t="inlineStr">
        <is>
          <t>EE</t>
        </is>
      </c>
      <c r="C40" s="80" t="inlineStr">
        <is>
          <t>Romania</t>
        </is>
      </c>
      <c r="D40" s="33" t="inlineStr">
        <is>
          <t>Romania</t>
        </is>
      </c>
      <c r="E40" s="12" t="inlineStr">
        <is>
          <t>Community Tree Planting Initiative</t>
        </is>
      </c>
      <c r="F40" s="12" t="inlineStr">
        <is>
          <t>Social</t>
        </is>
      </c>
      <c r="G40" s="94" t="inlineStr">
        <is>
          <t>Charity/Donation</t>
        </is>
      </c>
      <c r="H40" s="47" t="n">
        <v>2024</v>
      </c>
      <c r="I40" s="5" t="n">
        <v>2024</v>
      </c>
      <c r="J40" s="5" t="n">
        <v>7</v>
      </c>
      <c r="K40" s="5" t="n">
        <v>65</v>
      </c>
      <c r="L40" s="5" t="n">
        <v>314</v>
      </c>
      <c r="M40" s="118">
        <f>(K40)/910</f>
        <v/>
      </c>
      <c r="N40" s="5" t="n">
        <v>750</v>
      </c>
      <c r="O40" s="5" t="n">
        <v>732</v>
      </c>
      <c r="P40" s="5" t="inlineStr">
        <is>
          <t>NA</t>
        </is>
      </c>
      <c r="Q40" s="5" t="inlineStr">
        <is>
          <t>Cables</t>
        </is>
      </c>
      <c r="R40" s="5" t="inlineStr">
        <is>
          <t>HR</t>
        </is>
      </c>
      <c r="S40" s="81" t="inlineStr">
        <is>
          <t>Local Municipality</t>
        </is>
      </c>
      <c r="T40" s="81" t="n">
        <v>1</v>
      </c>
    </row>
    <row r="41" ht="15" customHeight="1">
      <c r="B41" s="81" t="inlineStr">
        <is>
          <t>EE</t>
        </is>
      </c>
      <c r="C41" s="80" t="inlineStr">
        <is>
          <t>Romania</t>
        </is>
      </c>
      <c r="D41" s="33" t="inlineStr">
        <is>
          <t>Romania</t>
        </is>
      </c>
      <c r="G41" s="38" t="n"/>
      <c r="L41" s="88" t="n">
        <v>910</v>
      </c>
      <c r="N41" s="5" t="n"/>
    </row>
    <row r="42" ht="15" customHeight="1">
      <c r="A42" s="119" t="inlineStr">
        <is>
          <t>CSR 38</t>
        </is>
      </c>
      <c r="B42" s="81" t="inlineStr">
        <is>
          <t>ASIA</t>
        </is>
      </c>
      <c r="C42" s="3" t="inlineStr">
        <is>
          <t>China</t>
        </is>
      </c>
      <c r="D42" s="3" t="inlineStr">
        <is>
          <t>Tianjin</t>
        </is>
      </c>
      <c r="E42" s="12" t="inlineStr">
        <is>
          <t>Tree Plantation Drive</t>
        </is>
      </c>
      <c r="F42" s="12" t="inlineStr">
        <is>
          <t>Environment</t>
        </is>
      </c>
      <c r="G42" s="12" t="inlineStr">
        <is>
          <t>Partnership</t>
        </is>
      </c>
      <c r="H42" s="47" t="n">
        <v>2024</v>
      </c>
      <c r="I42" s="5" t="n">
        <v>2024</v>
      </c>
      <c r="J42" s="5" t="n">
        <v>3</v>
      </c>
      <c r="K42" s="5" t="n">
        <v>124</v>
      </c>
      <c r="L42" s="88" t="n">
        <v>910</v>
      </c>
      <c r="M42" s="118">
        <f>(K42)/910</f>
        <v/>
      </c>
      <c r="N42" s="5" t="n">
        <v>2000</v>
      </c>
      <c r="O42" s="5" t="n">
        <v>1839</v>
      </c>
      <c r="P42" s="5" t="inlineStr">
        <is>
          <t>NA</t>
        </is>
      </c>
      <c r="Q42" s="5" t="inlineStr">
        <is>
          <t>NA</t>
        </is>
      </c>
      <c r="R42" s="5" t="inlineStr">
        <is>
          <t>HR</t>
        </is>
      </c>
      <c r="S42" s="81" t="inlineStr">
        <is>
          <t>Local NGO Tianjin</t>
        </is>
      </c>
      <c r="T42" s="81" t="n">
        <v>1</v>
      </c>
    </row>
    <row r="43" ht="15" customHeight="1">
      <c r="B43" s="81" t="inlineStr">
        <is>
          <t>ASIA</t>
        </is>
      </c>
      <c r="C43" s="3" t="inlineStr">
        <is>
          <t>China</t>
        </is>
      </c>
      <c r="D43" s="3" t="inlineStr">
        <is>
          <t>Tianjin</t>
        </is>
      </c>
      <c r="G43" s="38" t="n"/>
      <c r="L43" s="88" t="n">
        <v>910</v>
      </c>
      <c r="N43" s="5" t="n"/>
    </row>
    <row r="44" ht="18.75" customHeight="1">
      <c r="A44" s="119" t="inlineStr">
        <is>
          <t>CSR 39</t>
        </is>
      </c>
      <c r="B44" s="81" t="inlineStr">
        <is>
          <t>western Europe</t>
        </is>
      </c>
      <c r="C44" s="3" t="inlineStr">
        <is>
          <t>Portugal</t>
        </is>
      </c>
      <c r="D44" s="3" t="inlineStr">
        <is>
          <t>Guarda</t>
        </is>
      </c>
      <c r="E44" s="12" t="inlineStr">
        <is>
          <t>Digital Literacy for Seniors</t>
        </is>
      </c>
      <c r="F44" s="12" t="inlineStr">
        <is>
          <t>Social</t>
        </is>
      </c>
      <c r="G44" s="12" t="inlineStr">
        <is>
          <t>Sponsorship</t>
        </is>
      </c>
      <c r="H44" s="47" t="n">
        <v>2024</v>
      </c>
      <c r="I44" s="5" t="n">
        <v>2024</v>
      </c>
      <c r="J44" s="5" t="n">
        <v>2</v>
      </c>
      <c r="K44" s="5" t="n">
        <v>49</v>
      </c>
      <c r="L44" s="88" t="n">
        <v>910</v>
      </c>
      <c r="M44" s="118">
        <f>(K44)/910</f>
        <v/>
      </c>
      <c r="N44" s="5" t="n">
        <v>750</v>
      </c>
      <c r="O44" s="5" t="n">
        <v>816</v>
      </c>
      <c r="P44" s="5" t="n">
        <v>2100</v>
      </c>
      <c r="Q44" s="5" t="inlineStr">
        <is>
          <t>Trees</t>
        </is>
      </c>
      <c r="R44" s="5" t="inlineStr">
        <is>
          <t>HR</t>
        </is>
      </c>
      <c r="S44" s="81" t="inlineStr">
        <is>
          <t>Regional NGO Portugal</t>
        </is>
      </c>
      <c r="T44" s="81" t="n">
        <v>1</v>
      </c>
    </row>
    <row r="45" ht="15" customHeight="1">
      <c r="B45" s="81" t="inlineStr">
        <is>
          <t>western Europe</t>
        </is>
      </c>
      <c r="C45" s="3" t="inlineStr">
        <is>
          <t>Portugal</t>
        </is>
      </c>
      <c r="D45" s="3" t="inlineStr">
        <is>
          <t>Guarda 2</t>
        </is>
      </c>
      <c r="G45" s="38" t="n"/>
      <c r="L45" s="88" t="n">
        <v>910</v>
      </c>
      <c r="N45" s="5" t="n"/>
    </row>
    <row r="46" ht="15" customHeight="1">
      <c r="A46" s="119" t="inlineStr">
        <is>
          <t>CSR 40</t>
        </is>
      </c>
      <c r="B46" s="81" t="inlineStr">
        <is>
          <t>western Europe</t>
        </is>
      </c>
      <c r="C46" s="3" t="inlineStr">
        <is>
          <t>Portugal</t>
        </is>
      </c>
      <c r="D46" s="3" t="inlineStr">
        <is>
          <t>Guarda</t>
        </is>
      </c>
      <c r="E46" s="3" t="inlineStr">
        <is>
          <t>Coastal Cleanup Campaign</t>
        </is>
      </c>
      <c r="F46" s="12" t="inlineStr">
        <is>
          <t>Environment</t>
        </is>
      </c>
      <c r="G46" s="12" t="inlineStr">
        <is>
          <t>Charity/Donation</t>
        </is>
      </c>
      <c r="H46" s="47" t="n">
        <v>2024</v>
      </c>
      <c r="I46" s="5" t="n">
        <v>2024</v>
      </c>
      <c r="J46" s="5" t="n">
        <v>2</v>
      </c>
      <c r="K46" s="5" t="n">
        <v>101</v>
      </c>
      <c r="L46" s="5" t="n">
        <v>910</v>
      </c>
      <c r="M46" s="118">
        <f>(K46)/L46</f>
        <v/>
      </c>
      <c r="N46" s="5" t="n">
        <v>3000</v>
      </c>
      <c r="O46" s="5" t="n">
        <v>2807</v>
      </c>
      <c r="P46" s="5" t="inlineStr">
        <is>
          <t>NA</t>
        </is>
      </c>
      <c r="Q46" s="5" t="inlineStr">
        <is>
          <t>NA</t>
        </is>
      </c>
      <c r="R46" s="5" t="inlineStr">
        <is>
          <t>HR</t>
        </is>
      </c>
      <c r="S46" s="5" t="inlineStr">
        <is>
          <t>Regional NGO Portugal</t>
        </is>
      </c>
      <c r="T46" s="81" t="n">
        <v>1</v>
      </c>
    </row>
    <row r="47" ht="15" customHeight="1">
      <c r="B47" s="81" t="inlineStr">
        <is>
          <t>western Europe</t>
        </is>
      </c>
      <c r="C47" s="3" t="inlineStr">
        <is>
          <t>Portugal</t>
        </is>
      </c>
      <c r="D47" s="3" t="inlineStr">
        <is>
          <t>Guarda 2</t>
        </is>
      </c>
      <c r="G47" s="38" t="n"/>
      <c r="N47" s="5" t="n"/>
    </row>
    <row r="48" ht="15" customHeight="1">
      <c r="A48" s="119" t="inlineStr">
        <is>
          <t>CSR 41</t>
        </is>
      </c>
      <c r="B48" s="81" t="inlineStr">
        <is>
          <t>western Europe</t>
        </is>
      </c>
      <c r="C48" s="3" t="inlineStr">
        <is>
          <t>Portugal</t>
        </is>
      </c>
      <c r="D48" s="3" t="inlineStr">
        <is>
          <t>Guarda</t>
        </is>
      </c>
      <c r="E48" s="3" t="inlineStr">
        <is>
          <t>Local Charity Partnership</t>
        </is>
      </c>
      <c r="F48" s="120" t="inlineStr">
        <is>
          <t>Education</t>
        </is>
      </c>
      <c r="G48" s="12" t="inlineStr">
        <is>
          <t>Others</t>
        </is>
      </c>
      <c r="H48" s="47" t="n">
        <v>2024</v>
      </c>
      <c r="I48" s="5" t="n">
        <v>2024</v>
      </c>
      <c r="J48" s="5" t="n">
        <v>3</v>
      </c>
      <c r="K48" s="5" t="n">
        <v>30</v>
      </c>
      <c r="L48" s="5" t="n">
        <v>910</v>
      </c>
      <c r="M48" s="118">
        <f>(K48)/L48</f>
        <v/>
      </c>
      <c r="N48" s="5" t="n">
        <v>2000</v>
      </c>
      <c r="O48" s="5" t="n">
        <v>1846</v>
      </c>
      <c r="P48" s="5" t="inlineStr">
        <is>
          <t>NA</t>
        </is>
      </c>
      <c r="Q48" s="5" t="inlineStr">
        <is>
          <t>NA</t>
        </is>
      </c>
      <c r="R48" s="5" t="inlineStr">
        <is>
          <t>EHS/HR</t>
        </is>
      </c>
      <c r="S48" s="81" t="inlineStr">
        <is>
          <t>Regional NGO Portugal</t>
        </is>
      </c>
      <c r="T48" s="27" t="n">
        <v>1</v>
      </c>
    </row>
    <row r="49" ht="15" customHeight="1">
      <c r="B49" s="81" t="inlineStr">
        <is>
          <t>western Europe</t>
        </is>
      </c>
      <c r="C49" s="3" t="inlineStr">
        <is>
          <t>Portugal</t>
        </is>
      </c>
      <c r="D49" s="3" t="inlineStr">
        <is>
          <t>Guarda 2</t>
        </is>
      </c>
      <c r="N49" s="5" t="n"/>
    </row>
    <row r="50" ht="24.75" customHeight="1">
      <c r="A50" s="55" t="inlineStr">
        <is>
          <t>CSR 42</t>
        </is>
      </c>
      <c r="B50" s="81" t="inlineStr">
        <is>
          <t>America</t>
        </is>
      </c>
      <c r="C50" s="3" t="inlineStr">
        <is>
          <t>Mexico</t>
        </is>
      </c>
      <c r="D50" s="3" t="inlineStr">
        <is>
          <t>Durrango</t>
        </is>
      </c>
      <c r="E50" s="12" t="inlineStr">
        <is>
          <t>Back-to-School Supply Donation</t>
        </is>
      </c>
      <c r="F50" s="12" t="inlineStr">
        <is>
          <t>Education</t>
        </is>
      </c>
      <c r="G50" s="12" t="inlineStr">
        <is>
          <t>Charity/Donation</t>
        </is>
      </c>
      <c r="H50" s="47" t="n">
        <v>2024</v>
      </c>
      <c r="I50" s="5" t="n">
        <v>2025</v>
      </c>
      <c r="J50" s="5" t="n">
        <v>4</v>
      </c>
      <c r="K50" s="5" t="n">
        <v>179</v>
      </c>
      <c r="L50" s="5" t="n">
        <v>801</v>
      </c>
      <c r="M50" s="118">
        <f>K50/L50</f>
        <v/>
      </c>
      <c r="N50" s="5" t="n">
        <v>750</v>
      </c>
      <c r="O50" s="5" t="n">
        <v>782</v>
      </c>
      <c r="P50" s="5" t="inlineStr">
        <is>
          <t>NA</t>
        </is>
      </c>
      <c r="Q50" s="5" t="inlineStr">
        <is>
          <t>NA</t>
        </is>
      </c>
      <c r="R50" s="5" t="inlineStr">
        <is>
          <t>HR</t>
        </is>
      </c>
      <c r="S50" s="5" t="inlineStr">
        <is>
          <t>Cruz Roja Mexicana</t>
        </is>
      </c>
      <c r="T50" s="81" t="n">
        <v>1</v>
      </c>
    </row>
    <row r="51" ht="30" customHeight="1">
      <c r="A51" s="55" t="inlineStr">
        <is>
          <t>CSR 43</t>
        </is>
      </c>
      <c r="B51" s="81" t="inlineStr">
        <is>
          <t>America</t>
        </is>
      </c>
      <c r="C51" s="3" t="inlineStr">
        <is>
          <t>Mexico</t>
        </is>
      </c>
      <c r="D51" s="3" t="inlineStr">
        <is>
          <t>Durrango</t>
        </is>
      </c>
      <c r="E51" s="12" t="inlineStr">
        <is>
          <t>Senior Citizen Assistance Program</t>
        </is>
      </c>
      <c r="F51" s="12" t="inlineStr">
        <is>
          <t>Education</t>
        </is>
      </c>
      <c r="G51" s="4" t="inlineStr">
        <is>
          <t>Others</t>
        </is>
      </c>
      <c r="H51" s="47" t="n">
        <v>2024</v>
      </c>
      <c r="I51" t="n">
        <v>2024</v>
      </c>
      <c r="J51" s="5" t="n">
        <v>1</v>
      </c>
      <c r="K51" s="5" t="n">
        <v>81</v>
      </c>
      <c r="L51" s="5" t="n">
        <v>801</v>
      </c>
      <c r="M51" s="118">
        <f>K51/L51</f>
        <v/>
      </c>
      <c r="N51" s="5" t="n">
        <v>1500</v>
      </c>
      <c r="O51" s="5" t="n">
        <v>1513</v>
      </c>
      <c r="P51" s="5" t="inlineStr">
        <is>
          <t>NA</t>
        </is>
      </c>
      <c r="Q51" s="5" t="inlineStr">
        <is>
          <t>NA</t>
        </is>
      </c>
      <c r="R51" s="5" t="inlineStr">
        <is>
          <t>HR</t>
        </is>
      </c>
      <c r="S51" s="5" t="inlineStr">
        <is>
          <t>Community Foundation Mexico</t>
        </is>
      </c>
      <c r="T51" s="81" t="n">
        <v>1</v>
      </c>
    </row>
    <row r="52" ht="30" customHeight="1">
      <c r="A52" s="55" t="inlineStr">
        <is>
          <t>CSR 44</t>
        </is>
      </c>
      <c r="B52" s="81" t="inlineStr">
        <is>
          <t>America</t>
        </is>
      </c>
      <c r="C52" s="3" t="inlineStr">
        <is>
          <t>Mexico</t>
        </is>
      </c>
      <c r="D52" s="3" t="inlineStr">
        <is>
          <t>Durrango</t>
        </is>
      </c>
      <c r="E52" s="12" t="inlineStr">
        <is>
          <t>Youth Sports Sponsorship</t>
        </is>
      </c>
      <c r="F52" s="12" t="inlineStr">
        <is>
          <t>Social</t>
        </is>
      </c>
      <c r="G52" s="4" t="inlineStr">
        <is>
          <t>Partnership</t>
        </is>
      </c>
      <c r="H52" s="47" t="n">
        <v>2024</v>
      </c>
      <c r="I52" s="5" t="n">
        <v>2024</v>
      </c>
      <c r="J52" s="5" t="n">
        <v>1</v>
      </c>
      <c r="K52" s="5" t="n">
        <v>181</v>
      </c>
      <c r="L52" s="5" t="n">
        <v>801</v>
      </c>
      <c r="M52" s="118" t="n"/>
      <c r="N52" s="5" t="n">
        <v>1000</v>
      </c>
      <c r="O52" s="5" t="n">
        <v>1025</v>
      </c>
      <c r="P52" s="5" t="inlineStr">
        <is>
          <t>NA</t>
        </is>
      </c>
      <c r="Q52" s="5" t="inlineStr">
        <is>
          <t>NA</t>
        </is>
      </c>
      <c r="R52" s="5" t="inlineStr">
        <is>
          <t>HR</t>
        </is>
      </c>
      <c r="S52" s="5" t="inlineStr">
        <is>
          <t>Cruz Roja Mexicana</t>
        </is>
      </c>
      <c r="T52" s="81" t="n">
        <v>1</v>
      </c>
    </row>
    <row r="53" ht="30" customHeight="1">
      <c r="A53" s="55" t="inlineStr">
        <is>
          <t>CSR 45</t>
        </is>
      </c>
      <c r="B53" s="81" t="inlineStr">
        <is>
          <t>America</t>
        </is>
      </c>
      <c r="C53" s="3" t="inlineStr">
        <is>
          <t>Mexico</t>
        </is>
      </c>
      <c r="D53" s="3" t="inlineStr">
        <is>
          <t>Durrango</t>
        </is>
      </c>
      <c r="E53" s="12" t="inlineStr">
        <is>
          <t>Local NGO Support Program</t>
        </is>
      </c>
      <c r="F53" s="12" t="inlineStr">
        <is>
          <t>Health</t>
        </is>
      </c>
      <c r="G53" s="4" t="inlineStr">
        <is>
          <t>Partnership</t>
        </is>
      </c>
      <c r="H53" s="47" t="n">
        <v>2024</v>
      </c>
      <c r="I53" t="n">
        <v>2024</v>
      </c>
      <c r="J53" s="5" t="n">
        <v>1</v>
      </c>
      <c r="K53" s="5" t="n">
        <v>128</v>
      </c>
      <c r="L53" s="5" t="n">
        <v>801</v>
      </c>
      <c r="M53" s="118">
        <f>K53/L53</f>
        <v/>
      </c>
      <c r="N53" s="5" t="n">
        <v>1500</v>
      </c>
      <c r="O53" s="5" t="n">
        <v>1376</v>
      </c>
      <c r="P53" s="5" t="inlineStr">
        <is>
          <t>NA</t>
        </is>
      </c>
      <c r="Q53" s="5" t="inlineStr">
        <is>
          <t>NA</t>
        </is>
      </c>
      <c r="R53" s="5" t="inlineStr">
        <is>
          <t>HR</t>
        </is>
      </c>
      <c r="S53" s="5" t="inlineStr">
        <is>
          <t>Regional NGO Leon</t>
        </is>
      </c>
      <c r="T53" s="81" t="n">
        <v>1</v>
      </c>
    </row>
    <row r="54" ht="38.25" customHeight="1">
      <c r="A54" s="55" t="inlineStr">
        <is>
          <t>CSR 46</t>
        </is>
      </c>
      <c r="B54" s="81" t="inlineStr">
        <is>
          <t>America</t>
        </is>
      </c>
      <c r="C54" s="3" t="inlineStr">
        <is>
          <t>Mexico</t>
        </is>
      </c>
      <c r="D54" s="3" t="inlineStr">
        <is>
          <t>Durrango</t>
        </is>
      </c>
      <c r="E54" s="12" t="inlineStr">
        <is>
          <t>Toy Drive for Children</t>
        </is>
      </c>
      <c r="F54" s="12" t="inlineStr">
        <is>
          <t>Social</t>
        </is>
      </c>
      <c r="G54" s="4" t="inlineStr">
        <is>
          <t>Charity/Donation</t>
        </is>
      </c>
      <c r="H54" s="47" t="n">
        <v>2024</v>
      </c>
      <c r="I54" s="5" t="n">
        <v>2024</v>
      </c>
      <c r="J54" s="5" t="n">
        <v>1</v>
      </c>
      <c r="K54" s="5" t="n">
        <v>68</v>
      </c>
      <c r="L54" s="5" t="n">
        <v>801</v>
      </c>
      <c r="M54" s="118">
        <f>K54/L54</f>
        <v/>
      </c>
      <c r="N54" s="5" t="n">
        <v>3000</v>
      </c>
      <c r="O54" s="5" t="n">
        <v>2574</v>
      </c>
      <c r="P54" s="5" t="inlineStr">
        <is>
          <t>NA</t>
        </is>
      </c>
      <c r="Q54" s="5" t="inlineStr">
        <is>
          <t>NA</t>
        </is>
      </c>
      <c r="R54" s="5" t="inlineStr">
        <is>
          <t>HR</t>
        </is>
      </c>
      <c r="S54" s="5" t="inlineStr">
        <is>
          <t>Community Foundation Mexico</t>
        </is>
      </c>
      <c r="T54" s="81" t="n">
        <v>2</v>
      </c>
    </row>
    <row r="55" ht="32.25" customHeight="1">
      <c r="A55" s="55" t="inlineStr">
        <is>
          <t>CSR 47</t>
        </is>
      </c>
      <c r="B55" s="81" t="inlineStr">
        <is>
          <t>America</t>
        </is>
      </c>
      <c r="C55" s="3" t="inlineStr">
        <is>
          <t>Mexico</t>
        </is>
      </c>
      <c r="D55" s="3" t="inlineStr">
        <is>
          <t>Durrango</t>
        </is>
      </c>
      <c r="E55" s="12" t="inlineStr">
        <is>
          <t>Women in STEM Sponsorship</t>
        </is>
      </c>
      <c r="F55" s="12" t="inlineStr">
        <is>
          <t>Education</t>
        </is>
      </c>
      <c r="G55" s="4" t="inlineStr">
        <is>
          <t>Partnership</t>
        </is>
      </c>
      <c r="H55" s="47" t="n">
        <v>2024</v>
      </c>
      <c r="I55" s="5" t="n">
        <v>2024</v>
      </c>
      <c r="J55" s="5" t="n">
        <v>1</v>
      </c>
      <c r="K55" s="5" t="n">
        <v>155</v>
      </c>
      <c r="L55" s="5" t="n">
        <v>801</v>
      </c>
      <c r="M55" s="118">
        <f>K55/L55</f>
        <v/>
      </c>
      <c r="N55" s="5" t="n">
        <v>2500</v>
      </c>
      <c r="O55" s="5" t="n">
        <v>2321</v>
      </c>
      <c r="P55" s="5" t="inlineStr">
        <is>
          <t>NA</t>
        </is>
      </c>
      <c r="Q55" s="5" t="inlineStr">
        <is>
          <t>NA</t>
        </is>
      </c>
      <c r="R55" s="5" t="inlineStr">
        <is>
          <t>HR</t>
        </is>
      </c>
      <c r="S55" s="5" t="inlineStr">
        <is>
          <t>Local School Durango</t>
        </is>
      </c>
      <c r="T55" s="81" t="n">
        <v>2</v>
      </c>
    </row>
    <row r="56" ht="27" customHeight="1">
      <c r="A56" s="55" t="inlineStr">
        <is>
          <t>CSR 48</t>
        </is>
      </c>
      <c r="B56" s="81" t="inlineStr">
        <is>
          <t>America</t>
        </is>
      </c>
      <c r="C56" s="3" t="inlineStr">
        <is>
          <t>Mexico</t>
        </is>
      </c>
      <c r="D56" s="3" t="inlineStr">
        <is>
          <t>Durrango</t>
        </is>
      </c>
      <c r="E56" s="12" t="inlineStr">
        <is>
          <t>Toy Drive for Children</t>
        </is>
      </c>
      <c r="F56" s="12" t="inlineStr">
        <is>
          <t>Social</t>
        </is>
      </c>
      <c r="G56" s="4" t="inlineStr">
        <is>
          <t>Partnership</t>
        </is>
      </c>
      <c r="H56" s="47" t="n">
        <v>2024</v>
      </c>
      <c r="I56" s="5" t="n">
        <v>2024</v>
      </c>
      <c r="J56" s="5" t="n">
        <v>1</v>
      </c>
      <c r="K56" s="5" t="n">
        <v>77</v>
      </c>
      <c r="L56" s="5" t="n">
        <v>801</v>
      </c>
      <c r="M56" s="118">
        <f>K56/L56</f>
        <v/>
      </c>
      <c r="N56" s="5" t="n">
        <v>750</v>
      </c>
      <c r="O56" s="5" t="n">
        <v>683</v>
      </c>
      <c r="P56" s="5" t="inlineStr">
        <is>
          <t>NA</t>
        </is>
      </c>
      <c r="Q56" s="5" t="inlineStr">
        <is>
          <t>NA</t>
        </is>
      </c>
      <c r="R56" s="5" t="inlineStr">
        <is>
          <t>HR</t>
        </is>
      </c>
      <c r="S56" s="5" t="inlineStr">
        <is>
          <t>Regional NGO Leon</t>
        </is>
      </c>
      <c r="T56" s="81" t="n">
        <v>2</v>
      </c>
    </row>
    <row r="57" ht="45" customHeight="1">
      <c r="A57" s="55" t="inlineStr">
        <is>
          <t>CSR 49</t>
        </is>
      </c>
      <c r="B57" s="81" t="inlineStr">
        <is>
          <t>America</t>
        </is>
      </c>
      <c r="C57" s="3" t="inlineStr">
        <is>
          <t>Mexico</t>
        </is>
      </c>
      <c r="D57" s="3" t="inlineStr">
        <is>
          <t>Durrango</t>
        </is>
      </c>
      <c r="E57" s="12" t="inlineStr">
        <is>
          <t>Back-to-School Supply Donation</t>
        </is>
      </c>
      <c r="F57" s="12" t="inlineStr">
        <is>
          <t>Environment</t>
        </is>
      </c>
      <c r="G57" s="4" t="inlineStr">
        <is>
          <t>Charity/Donation</t>
        </is>
      </c>
      <c r="H57" s="47" t="n">
        <v>2024</v>
      </c>
      <c r="I57" s="5" t="n">
        <v>2024</v>
      </c>
      <c r="J57" s="5" t="n">
        <v>1</v>
      </c>
      <c r="K57" s="5" t="n">
        <v>112</v>
      </c>
      <c r="L57" s="5" t="n">
        <v>801</v>
      </c>
      <c r="M57" s="118">
        <f>K57/L57</f>
        <v/>
      </c>
      <c r="N57" s="5" t="n">
        <v>1000</v>
      </c>
      <c r="O57" s="5" t="n">
        <v>904</v>
      </c>
      <c r="P57" s="5" t="n">
        <v>100</v>
      </c>
      <c r="Q57" s="5" t="inlineStr">
        <is>
          <t>Person impacted</t>
        </is>
      </c>
      <c r="R57" s="5" t="inlineStr">
        <is>
          <t>HR</t>
        </is>
      </c>
      <c r="S57" s="5" t="inlineStr">
        <is>
          <t>Local Municipality</t>
        </is>
      </c>
      <c r="T57" s="81" t="n">
        <v>2</v>
      </c>
    </row>
    <row r="58" ht="45" customHeight="1">
      <c r="A58" s="55" t="inlineStr">
        <is>
          <t>CSR 50</t>
        </is>
      </c>
      <c r="B58" s="81" t="inlineStr">
        <is>
          <t>America</t>
        </is>
      </c>
      <c r="C58" s="3" t="inlineStr">
        <is>
          <t>Mexico</t>
        </is>
      </c>
      <c r="D58" s="3" t="inlineStr">
        <is>
          <t>Durrango</t>
        </is>
      </c>
      <c r="E58" s="12" t="inlineStr">
        <is>
          <t>School Scholarship Program</t>
        </is>
      </c>
      <c r="F58" s="12" t="inlineStr">
        <is>
          <t>Social</t>
        </is>
      </c>
      <c r="G58" s="4" t="inlineStr">
        <is>
          <t>Charity/Donation</t>
        </is>
      </c>
      <c r="H58" s="47" t="n">
        <v>2024</v>
      </c>
      <c r="I58" s="5" t="n">
        <v>2024</v>
      </c>
      <c r="J58" s="5" t="n">
        <v>1</v>
      </c>
      <c r="K58" s="5" t="n">
        <v>49</v>
      </c>
      <c r="L58" s="5" t="n">
        <v>801</v>
      </c>
      <c r="M58" s="118">
        <f>K58/L58</f>
        <v/>
      </c>
      <c r="N58" s="5" t="n">
        <v>2500</v>
      </c>
      <c r="O58" s="5" t="n">
        <v>2224</v>
      </c>
      <c r="P58" s="5" t="inlineStr">
        <is>
          <t>NA</t>
        </is>
      </c>
      <c r="Q58" s="5" t="inlineStr">
        <is>
          <t>NA</t>
        </is>
      </c>
      <c r="R58" s="5" t="inlineStr">
        <is>
          <t>HR</t>
        </is>
      </c>
      <c r="S58" s="5" t="inlineStr">
        <is>
          <t>Local School Durango</t>
        </is>
      </c>
      <c r="T58" s="81" t="n">
        <v>1</v>
      </c>
    </row>
    <row r="59" ht="30" customHeight="1">
      <c r="A59" s="55" t="inlineStr">
        <is>
          <t>CSR 51</t>
        </is>
      </c>
      <c r="B59" s="81" t="inlineStr">
        <is>
          <t>America</t>
        </is>
      </c>
      <c r="C59" s="3" t="inlineStr">
        <is>
          <t>Mexico</t>
        </is>
      </c>
      <c r="D59" s="3" t="inlineStr">
        <is>
          <t>Durrango</t>
        </is>
      </c>
      <c r="E59" s="12" t="inlineStr">
        <is>
          <t>Clean Water Access Initiative</t>
        </is>
      </c>
      <c r="F59" s="12" t="inlineStr">
        <is>
          <t>Environment</t>
        </is>
      </c>
      <c r="G59" s="4" t="inlineStr">
        <is>
          <t>Charity/Donation</t>
        </is>
      </c>
      <c r="H59" s="47" t="n">
        <v>2024</v>
      </c>
      <c r="I59" s="5" t="n">
        <v>2024</v>
      </c>
      <c r="J59" s="5" t="n">
        <v>1</v>
      </c>
      <c r="K59" s="5" t="n">
        <v>129</v>
      </c>
      <c r="L59" s="5" t="n">
        <v>801</v>
      </c>
      <c r="M59" s="118">
        <f>K59/L59</f>
        <v/>
      </c>
      <c r="N59" s="5" t="n">
        <v>2000</v>
      </c>
      <c r="O59" s="5" t="n">
        <v>1825</v>
      </c>
      <c r="P59" s="5" t="inlineStr">
        <is>
          <t>NA</t>
        </is>
      </c>
      <c r="Q59" s="5" t="inlineStr">
        <is>
          <t>NA</t>
        </is>
      </c>
      <c r="R59" s="5" t="inlineStr">
        <is>
          <t>HR</t>
        </is>
      </c>
      <c r="S59" s="5" t="inlineStr">
        <is>
          <t>Regional NGO Leon</t>
        </is>
      </c>
      <c r="T59" s="81" t="n">
        <v>1</v>
      </c>
    </row>
    <row r="60" ht="31.5" customHeight="1">
      <c r="A60" s="55" t="inlineStr">
        <is>
          <t>CSR 52</t>
        </is>
      </c>
      <c r="B60" s="81" t="inlineStr">
        <is>
          <t>America</t>
        </is>
      </c>
      <c r="C60" s="3" t="inlineStr">
        <is>
          <t>Mexico</t>
        </is>
      </c>
      <c r="D60" s="3" t="inlineStr">
        <is>
          <t>Durrango</t>
        </is>
      </c>
      <c r="E60" s="12" t="inlineStr">
        <is>
          <t>Toy Drive for Children</t>
        </is>
      </c>
      <c r="F60" s="4" t="inlineStr">
        <is>
          <t>Education</t>
        </is>
      </c>
      <c r="G60" s="4" t="inlineStr">
        <is>
          <t>Charity/Donation</t>
        </is>
      </c>
      <c r="H60" s="47" t="n">
        <v>2024</v>
      </c>
      <c r="I60" s="5" t="n">
        <v>2024</v>
      </c>
      <c r="J60" s="5" t="n">
        <v>1</v>
      </c>
      <c r="K60" s="5" t="n">
        <v>147</v>
      </c>
      <c r="L60" s="5" t="n">
        <v>801</v>
      </c>
      <c r="M60" s="118">
        <f>K60/L60</f>
        <v/>
      </c>
      <c r="N60" s="5" t="n">
        <v>3000</v>
      </c>
      <c r="O60" s="5" t="n">
        <v>2750</v>
      </c>
      <c r="P60" s="5" t="inlineStr">
        <is>
          <t>NA</t>
        </is>
      </c>
      <c r="Q60" s="5" t="inlineStr">
        <is>
          <t>NA</t>
        </is>
      </c>
      <c r="R60" s="5" t="inlineStr">
        <is>
          <t>HR</t>
        </is>
      </c>
      <c r="S60" s="5" t="inlineStr">
        <is>
          <t>Community Foundation Mexico</t>
        </is>
      </c>
      <c r="T60" s="81" t="n">
        <v>1</v>
      </c>
    </row>
    <row r="61" ht="60" customHeight="1">
      <c r="A61" s="55" t="inlineStr">
        <is>
          <t>CSR 53</t>
        </is>
      </c>
      <c r="B61" s="81" t="inlineStr">
        <is>
          <t>America</t>
        </is>
      </c>
      <c r="C61" s="3" t="inlineStr">
        <is>
          <t>Mexico</t>
        </is>
      </c>
      <c r="D61" s="3" t="inlineStr">
        <is>
          <t>Léon</t>
        </is>
      </c>
      <c r="E61" s="3" t="inlineStr">
        <is>
          <t>Women in STEM Sponsorship</t>
        </is>
      </c>
      <c r="F61" s="4" t="inlineStr">
        <is>
          <t>Environment</t>
        </is>
      </c>
      <c r="G61" s="4" t="inlineStr">
        <is>
          <t>Partnership</t>
        </is>
      </c>
      <c r="H61" s="47" t="n">
        <v>2024</v>
      </c>
      <c r="I61" s="5" t="n">
        <v>2024</v>
      </c>
      <c r="J61" s="5" t="n">
        <v>1</v>
      </c>
      <c r="K61" s="5" t="n">
        <v>126</v>
      </c>
      <c r="L61" s="5" t="n">
        <v>615</v>
      </c>
      <c r="M61" s="118">
        <f>K61/L61</f>
        <v/>
      </c>
      <c r="N61" s="5" t="n">
        <v>500</v>
      </c>
      <c r="O61" s="5" t="n">
        <v>544</v>
      </c>
      <c r="P61" s="5" t="inlineStr">
        <is>
          <t>NA</t>
        </is>
      </c>
      <c r="Q61" s="5" t="inlineStr">
        <is>
          <t>NA</t>
        </is>
      </c>
      <c r="R61" s="5" t="inlineStr">
        <is>
          <t>HR</t>
        </is>
      </c>
      <c r="S61" s="5" t="inlineStr">
        <is>
          <t>Community Foundation Mexico</t>
        </is>
      </c>
      <c r="T61" s="81" t="n">
        <v>1</v>
      </c>
    </row>
    <row r="62" ht="30" customHeight="1">
      <c r="A62" s="55" t="inlineStr">
        <is>
          <t>CSR 54</t>
        </is>
      </c>
      <c r="B62" s="81" t="inlineStr">
        <is>
          <t>America</t>
        </is>
      </c>
      <c r="C62" s="3" t="inlineStr">
        <is>
          <t>Mexico</t>
        </is>
      </c>
      <c r="D62" s="3" t="inlineStr">
        <is>
          <t>Léon</t>
        </is>
      </c>
      <c r="E62" s="12" t="inlineStr">
        <is>
          <t>Local NGO Support Program</t>
        </is>
      </c>
      <c r="F62" s="4" t="inlineStr">
        <is>
          <t>Education</t>
        </is>
      </c>
      <c r="G62" s="4" t="inlineStr">
        <is>
          <t>Charity/Donation</t>
        </is>
      </c>
      <c r="H62" s="47" t="n">
        <v>2024</v>
      </c>
      <c r="I62" s="5" t="n">
        <v>2024</v>
      </c>
      <c r="J62" s="5" t="n">
        <v>1</v>
      </c>
      <c r="K62" s="5" t="n">
        <v>86</v>
      </c>
      <c r="L62" s="5" t="n">
        <v>615</v>
      </c>
      <c r="M62" s="118">
        <f>K62/L62</f>
        <v/>
      </c>
      <c r="N62" s="5" t="n">
        <v>3000</v>
      </c>
      <c r="O62" s="5" t="n">
        <v>3029</v>
      </c>
      <c r="P62" s="5" t="inlineStr">
        <is>
          <t>NA</t>
        </is>
      </c>
      <c r="Q62" s="5" t="inlineStr">
        <is>
          <t>Bottle Caps</t>
        </is>
      </c>
      <c r="R62" s="5" t="inlineStr">
        <is>
          <t>HR</t>
        </is>
      </c>
      <c r="S62" s="81" t="inlineStr">
        <is>
          <t>Regional NGO Leon</t>
        </is>
      </c>
      <c r="T62" s="81" t="n">
        <v>1</v>
      </c>
    </row>
    <row r="63" ht="30" customHeight="1">
      <c r="A63" s="55" t="inlineStr">
        <is>
          <t>CSR 55</t>
        </is>
      </c>
      <c r="B63" s="81" t="inlineStr">
        <is>
          <t>America</t>
        </is>
      </c>
      <c r="C63" s="3" t="inlineStr">
        <is>
          <t>Mexico</t>
        </is>
      </c>
      <c r="D63" s="3" t="inlineStr">
        <is>
          <t>Léon</t>
        </is>
      </c>
      <c r="E63" s="12" t="inlineStr">
        <is>
          <t>Reforestation Campaign</t>
        </is>
      </c>
      <c r="F63" s="4" t="inlineStr">
        <is>
          <t>Social</t>
        </is>
      </c>
      <c r="G63" s="4" t="inlineStr">
        <is>
          <t>Partnership</t>
        </is>
      </c>
      <c r="H63" s="47" t="n">
        <v>2024</v>
      </c>
      <c r="I63" s="5" t="n">
        <v>2024</v>
      </c>
      <c r="J63" s="5" t="n">
        <v>1</v>
      </c>
      <c r="K63" s="5" t="n">
        <v>148</v>
      </c>
      <c r="L63" s="5" t="n">
        <v>615</v>
      </c>
      <c r="M63" s="118">
        <f>K63/L63</f>
        <v/>
      </c>
      <c r="N63" s="5" t="n">
        <v>3000</v>
      </c>
      <c r="O63" s="5" t="n">
        <v>3241</v>
      </c>
      <c r="P63" s="5" t="n">
        <v>200</v>
      </c>
      <c r="Q63" s="5" t="inlineStr">
        <is>
          <t>Trees</t>
        </is>
      </c>
      <c r="R63" s="5" t="inlineStr">
        <is>
          <t>HR</t>
        </is>
      </c>
      <c r="S63" s="81" t="inlineStr">
        <is>
          <t>Cruz Roja Mexicana</t>
        </is>
      </c>
      <c r="T63" s="81" t="n">
        <v>2</v>
      </c>
    </row>
    <row r="64" ht="30" customHeight="1">
      <c r="A64" s="55" t="inlineStr">
        <is>
          <t>CSR 56</t>
        </is>
      </c>
      <c r="B64" s="81" t="inlineStr">
        <is>
          <t>America</t>
        </is>
      </c>
      <c r="C64" s="3" t="inlineStr">
        <is>
          <t>Mexico</t>
        </is>
      </c>
      <c r="D64" s="3" t="inlineStr">
        <is>
          <t>Léon</t>
        </is>
      </c>
      <c r="E64" s="3" t="inlineStr">
        <is>
          <t>Employee Charity Run</t>
        </is>
      </c>
      <c r="F64" s="4" t="inlineStr">
        <is>
          <t>Social</t>
        </is>
      </c>
      <c r="G64" s="4" t="inlineStr">
        <is>
          <t>Charity/Donation</t>
        </is>
      </c>
      <c r="H64" s="47" t="n">
        <v>2024</v>
      </c>
      <c r="I64" s="5" t="n">
        <v>2024</v>
      </c>
      <c r="J64" s="5" t="n">
        <v>1</v>
      </c>
      <c r="K64" s="5" t="n">
        <v>102</v>
      </c>
      <c r="L64" s="5" t="n">
        <v>615</v>
      </c>
      <c r="M64" s="118">
        <f>K64/L64</f>
        <v/>
      </c>
      <c r="N64" s="5" t="n">
        <v>3000</v>
      </c>
      <c r="O64" s="5" t="n">
        <v>3155</v>
      </c>
      <c r="P64" s="5" t="inlineStr">
        <is>
          <t>NA</t>
        </is>
      </c>
      <c r="Q64" s="5" t="inlineStr">
        <is>
          <t>NA</t>
        </is>
      </c>
      <c r="R64" s="5" t="inlineStr">
        <is>
          <t>HR</t>
        </is>
      </c>
      <c r="S64" s="5" t="inlineStr">
        <is>
          <t>Local Municipality</t>
        </is>
      </c>
      <c r="T64" s="81" t="n">
        <v>1</v>
      </c>
    </row>
    <row r="65" ht="45" customHeight="1">
      <c r="A65" s="55" t="inlineStr">
        <is>
          <t>CSR 57</t>
        </is>
      </c>
      <c r="B65" s="81" t="inlineStr">
        <is>
          <t>America</t>
        </is>
      </c>
      <c r="C65" s="3" t="inlineStr">
        <is>
          <t>Mexico</t>
        </is>
      </c>
      <c r="D65" s="3" t="inlineStr">
        <is>
          <t>Léon</t>
        </is>
      </c>
      <c r="E65" s="12" t="inlineStr">
        <is>
          <t>Health Fair for Local Communities</t>
        </is>
      </c>
      <c r="F65" s="4" t="inlineStr">
        <is>
          <t>Education</t>
        </is>
      </c>
      <c r="G65" s="4" t="inlineStr">
        <is>
          <t>Charity/Donation</t>
        </is>
      </c>
      <c r="H65" s="47" t="n">
        <v>2024</v>
      </c>
      <c r="I65" s="5" t="n">
        <v>2024</v>
      </c>
      <c r="J65" s="5" t="n">
        <v>1</v>
      </c>
      <c r="K65" s="5" t="n">
        <v>197</v>
      </c>
      <c r="L65" s="5" t="n">
        <v>615</v>
      </c>
      <c r="M65" s="118">
        <f>K65/L65</f>
        <v/>
      </c>
      <c r="N65" s="5" t="n">
        <v>1500</v>
      </c>
      <c r="O65" s="5" t="n">
        <v>1581</v>
      </c>
      <c r="P65" s="5" t="n">
        <v>100</v>
      </c>
      <c r="Q65" s="5" t="inlineStr">
        <is>
          <t>Electronic equipment</t>
        </is>
      </c>
      <c r="R65" s="5" t="inlineStr">
        <is>
          <t>HR</t>
        </is>
      </c>
      <c r="S65" s="5" t="inlineStr">
        <is>
          <t>Regional NGO Leon</t>
        </is>
      </c>
      <c r="T65" s="81" t="n">
        <v>1</v>
      </c>
    </row>
    <row r="66">
      <c r="A66" s="55" t="inlineStr">
        <is>
          <t>CSR 58</t>
        </is>
      </c>
      <c r="B66" s="81" t="inlineStr">
        <is>
          <t>America</t>
        </is>
      </c>
      <c r="C66" s="3" t="inlineStr">
        <is>
          <t>Mexico</t>
        </is>
      </c>
      <c r="D66" s="3" t="inlineStr">
        <is>
          <t>Léon</t>
        </is>
      </c>
      <c r="E66" s="3" t="inlineStr">
        <is>
          <t>Reforestation Campaign</t>
        </is>
      </c>
      <c r="F66" s="4" t="inlineStr">
        <is>
          <t>Social</t>
        </is>
      </c>
      <c r="G66" s="4" t="inlineStr">
        <is>
          <t>Charity/Donation</t>
        </is>
      </c>
      <c r="H66" s="47" t="n">
        <v>2024</v>
      </c>
      <c r="I66" s="5" t="n">
        <v>2024</v>
      </c>
      <c r="J66" s="5" t="n">
        <v>1</v>
      </c>
      <c r="K66" s="5" t="n">
        <v>52</v>
      </c>
      <c r="L66" s="5" t="n">
        <v>615</v>
      </c>
      <c r="M66" s="118">
        <f>K66/L66</f>
        <v/>
      </c>
      <c r="N66" s="5" t="n">
        <v>1000</v>
      </c>
      <c r="O66" s="5" t="n">
        <v>981</v>
      </c>
      <c r="P66" s="5" t="inlineStr">
        <is>
          <t>NA</t>
        </is>
      </c>
      <c r="Q66" s="5" t="inlineStr">
        <is>
          <t>NA</t>
        </is>
      </c>
      <c r="R66" s="5" t="inlineStr">
        <is>
          <t>HR</t>
        </is>
      </c>
      <c r="S66" s="5" t="inlineStr">
        <is>
          <t>Regional NGO Leon</t>
        </is>
      </c>
      <c r="T66" s="81" t="n">
        <v>2</v>
      </c>
    </row>
    <row r="67" ht="45" customHeight="1">
      <c r="A67" s="55" t="inlineStr">
        <is>
          <t>CSR 59</t>
        </is>
      </c>
      <c r="B67" s="81" t="inlineStr">
        <is>
          <t>America</t>
        </is>
      </c>
      <c r="C67" s="3" t="inlineStr">
        <is>
          <t>Mexico</t>
        </is>
      </c>
      <c r="D67" s="3" t="inlineStr">
        <is>
          <t>Léon</t>
        </is>
      </c>
      <c r="E67" s="12" t="inlineStr">
        <is>
          <t>Health Fair for Local Communities</t>
        </is>
      </c>
      <c r="F67" s="4" t="inlineStr">
        <is>
          <t>Health</t>
        </is>
      </c>
      <c r="G67" s="4" t="inlineStr">
        <is>
          <t>Charity/Donation</t>
        </is>
      </c>
      <c r="H67" s="47" t="n">
        <v>2024</v>
      </c>
      <c r="I67" s="5" t="n">
        <v>2024</v>
      </c>
      <c r="J67" s="5" t="n">
        <v>1</v>
      </c>
      <c r="K67" s="5" t="n">
        <v>89</v>
      </c>
      <c r="L67" s="5" t="n">
        <v>615</v>
      </c>
      <c r="M67" s="118">
        <f>K67/L67</f>
        <v/>
      </c>
      <c r="N67" s="5" t="n">
        <v>1500</v>
      </c>
      <c r="O67" s="5" t="n">
        <v>1648</v>
      </c>
      <c r="P67" s="5" t="n">
        <v>25</v>
      </c>
      <c r="Q67" s="5" t="inlineStr">
        <is>
          <t>units of blood</t>
        </is>
      </c>
      <c r="R67" s="5" t="inlineStr">
        <is>
          <t>HR</t>
        </is>
      </c>
      <c r="S67" s="5" t="inlineStr">
        <is>
          <t>Community Foundation Mexico</t>
        </is>
      </c>
      <c r="T67" s="81" t="n">
        <v>2</v>
      </c>
    </row>
    <row r="68" ht="30" customHeight="1">
      <c r="A68" s="55" t="inlineStr">
        <is>
          <t>CSR 60</t>
        </is>
      </c>
      <c r="B68" s="81" t="inlineStr">
        <is>
          <t>America</t>
        </is>
      </c>
      <c r="C68" s="3" t="inlineStr">
        <is>
          <t>Mexico</t>
        </is>
      </c>
      <c r="D68" s="3" t="inlineStr">
        <is>
          <t>Léon</t>
        </is>
      </c>
      <c r="E68" s="12" t="inlineStr">
        <is>
          <t>Local NGO Support Program</t>
        </is>
      </c>
      <c r="F68" s="4" t="inlineStr">
        <is>
          <t>Social</t>
        </is>
      </c>
      <c r="G68" s="4" t="inlineStr">
        <is>
          <t>Charity/Donation</t>
        </is>
      </c>
      <c r="H68" s="47" t="n">
        <v>2024</v>
      </c>
      <c r="I68" s="5" t="n">
        <v>2024</v>
      </c>
      <c r="J68" s="5" t="n">
        <v>1</v>
      </c>
      <c r="K68" s="5" t="n">
        <v>73</v>
      </c>
      <c r="L68" s="5" t="n">
        <v>615</v>
      </c>
      <c r="M68" s="118">
        <f>K68/L68</f>
        <v/>
      </c>
      <c r="N68" s="5" t="n">
        <v>750</v>
      </c>
      <c r="O68" s="5" t="n">
        <v>649</v>
      </c>
      <c r="P68" s="5" t="inlineStr">
        <is>
          <t>NA</t>
        </is>
      </c>
      <c r="Q68" s="5" t="inlineStr">
        <is>
          <t>NA</t>
        </is>
      </c>
      <c r="R68" s="5" t="inlineStr">
        <is>
          <t>HR</t>
        </is>
      </c>
      <c r="S68" s="81" t="inlineStr">
        <is>
          <t>Cruz Roja Mexicana</t>
        </is>
      </c>
      <c r="T68" s="81" t="n">
        <v>1</v>
      </c>
    </row>
    <row r="69" ht="30" customHeight="1">
      <c r="A69" s="55" t="inlineStr">
        <is>
          <t>CSR 61</t>
        </is>
      </c>
      <c r="B69" s="81" t="inlineStr">
        <is>
          <t>America</t>
        </is>
      </c>
      <c r="C69" s="3" t="inlineStr">
        <is>
          <t>Mexico</t>
        </is>
      </c>
      <c r="D69" s="3" t="inlineStr">
        <is>
          <t>Léon</t>
        </is>
      </c>
      <c r="E69" s="3" t="inlineStr">
        <is>
          <t>Community Clean-Up Day</t>
        </is>
      </c>
      <c r="F69" s="4" t="inlineStr">
        <is>
          <t>Health</t>
        </is>
      </c>
      <c r="G69" s="4" t="inlineStr">
        <is>
          <t>Charity/Donation</t>
        </is>
      </c>
      <c r="H69" s="47" t="n">
        <v>2024</v>
      </c>
      <c r="I69" s="5" t="n">
        <v>2024</v>
      </c>
      <c r="J69" s="5" t="n">
        <v>1</v>
      </c>
      <c r="K69" s="5" t="n">
        <v>28</v>
      </c>
      <c r="L69" s="5" t="n">
        <v>615</v>
      </c>
      <c r="M69" s="118">
        <f>K69/L69</f>
        <v/>
      </c>
      <c r="N69" s="5" t="n">
        <v>2500</v>
      </c>
      <c r="O69" s="5" t="n">
        <v>2519</v>
      </c>
      <c r="P69" s="5" t="n">
        <v>20</v>
      </c>
      <c r="Q69" s="5" t="inlineStr">
        <is>
          <t>books</t>
        </is>
      </c>
      <c r="R69" s="5" t="inlineStr">
        <is>
          <t>HR</t>
        </is>
      </c>
      <c r="S69" s="5" t="inlineStr">
        <is>
          <t>Local Municipality</t>
        </is>
      </c>
      <c r="T69" s="81" t="n">
        <v>1</v>
      </c>
    </row>
    <row r="70" ht="15" customHeight="1">
      <c r="A70" s="55" t="inlineStr">
        <is>
          <t>CSR 62</t>
        </is>
      </c>
      <c r="B70" s="81" t="inlineStr">
        <is>
          <t>America</t>
        </is>
      </c>
      <c r="C70" s="3" t="inlineStr">
        <is>
          <t>Mexico</t>
        </is>
      </c>
      <c r="D70" s="3" t="inlineStr">
        <is>
          <t>Léon</t>
        </is>
      </c>
      <c r="E70" s="3" t="inlineStr">
        <is>
          <t>Community Pantry Donation</t>
        </is>
      </c>
      <c r="F70" s="4" t="inlineStr">
        <is>
          <t>Social</t>
        </is>
      </c>
      <c r="G70" s="4" t="inlineStr">
        <is>
          <t>Charity/Donation</t>
        </is>
      </c>
      <c r="H70" s="47" t="n">
        <v>2024</v>
      </c>
      <c r="I70" s="5" t="n">
        <v>2024</v>
      </c>
      <c r="J70" s="5" t="n">
        <v>1</v>
      </c>
      <c r="K70" s="5" t="n">
        <v>141</v>
      </c>
      <c r="L70" s="5" t="n">
        <v>615</v>
      </c>
      <c r="M70" s="118">
        <f>K70/L70</f>
        <v/>
      </c>
      <c r="N70" s="5" t="n">
        <v>750</v>
      </c>
      <c r="O70" s="5" t="n">
        <v>689</v>
      </c>
      <c r="P70" s="5" t="n">
        <v>15</v>
      </c>
      <c r="Q70" s="5" t="inlineStr">
        <is>
          <t>Mammograms</t>
        </is>
      </c>
      <c r="R70" s="5" t="inlineStr">
        <is>
          <t>HR</t>
        </is>
      </c>
      <c r="S70" s="5" t="inlineStr">
        <is>
          <t>Local School Durango</t>
        </is>
      </c>
      <c r="T70" s="81" t="n">
        <v>1</v>
      </c>
    </row>
    <row r="71" ht="15" customHeight="1">
      <c r="A71" s="55" t="inlineStr">
        <is>
          <t>CSR 63</t>
        </is>
      </c>
      <c r="B71" s="81" t="inlineStr">
        <is>
          <t>America</t>
        </is>
      </c>
      <c r="C71" s="3" t="inlineStr">
        <is>
          <t>Mexico</t>
        </is>
      </c>
      <c r="D71" s="3" t="inlineStr">
        <is>
          <t>Honduras</t>
        </is>
      </c>
      <c r="E71" s="3" t="inlineStr">
        <is>
          <t>Local NGO Support Program</t>
        </is>
      </c>
      <c r="F71" s="4" t="inlineStr">
        <is>
          <t>Environment</t>
        </is>
      </c>
      <c r="G71" s="4" t="inlineStr">
        <is>
          <t>Charity/Donation</t>
        </is>
      </c>
      <c r="H71" s="47" t="n">
        <v>2024</v>
      </c>
      <c r="I71" s="5" t="n">
        <v>2024</v>
      </c>
      <c r="J71" s="5" t="n">
        <v>1</v>
      </c>
      <c r="K71" s="5" t="n">
        <v>156</v>
      </c>
      <c r="L71" s="5" t="n">
        <v>387</v>
      </c>
      <c r="M71" s="118">
        <f>K71/L71</f>
        <v/>
      </c>
      <c r="N71" s="5" t="n">
        <v>2000</v>
      </c>
      <c r="O71" s="5" t="n">
        <v>1936</v>
      </c>
      <c r="P71" s="5" t="n">
        <v>20</v>
      </c>
      <c r="Q71" s="5" t="inlineStr">
        <is>
          <t>units of blood</t>
        </is>
      </c>
      <c r="R71" s="5" t="inlineStr">
        <is>
          <t>HR</t>
        </is>
      </c>
      <c r="S71" s="5" t="inlineStr">
        <is>
          <t>Local School Durango</t>
        </is>
      </c>
      <c r="T71" s="81" t="n">
        <v>2</v>
      </c>
    </row>
    <row r="72" ht="15" customHeight="1">
      <c r="A72" s="55" t="inlineStr">
        <is>
          <t>CSR 64</t>
        </is>
      </c>
      <c r="B72" s="81" t="inlineStr">
        <is>
          <t>America</t>
        </is>
      </c>
      <c r="C72" s="3" t="inlineStr">
        <is>
          <t>Mexico</t>
        </is>
      </c>
      <c r="D72" s="3" t="inlineStr">
        <is>
          <t>Honduras</t>
        </is>
      </c>
      <c r="E72" s="3" t="inlineStr">
        <is>
          <t>Health Fair for Local Communities</t>
        </is>
      </c>
      <c r="F72" s="4" t="inlineStr">
        <is>
          <t>Education</t>
        </is>
      </c>
      <c r="G72" s="4" t="inlineStr">
        <is>
          <t>Charity/Donation</t>
        </is>
      </c>
      <c r="H72" s="47" t="n">
        <v>2024</v>
      </c>
      <c r="I72" s="5" t="n">
        <v>2024</v>
      </c>
      <c r="J72" s="5" t="n">
        <v>1</v>
      </c>
      <c r="K72" s="5" t="n">
        <v>178</v>
      </c>
      <c r="L72" s="5" t="n">
        <v>387</v>
      </c>
      <c r="M72" s="118">
        <f>K72/L72</f>
        <v/>
      </c>
      <c r="N72" s="5" t="n">
        <v>1500</v>
      </c>
      <c r="O72" s="5" t="n">
        <v>1407</v>
      </c>
      <c r="P72" s="5" t="inlineStr">
        <is>
          <t>NA</t>
        </is>
      </c>
      <c r="Q72" s="5" t="inlineStr">
        <is>
          <t>NA</t>
        </is>
      </c>
      <c r="R72" s="5" t="inlineStr">
        <is>
          <t>HR</t>
        </is>
      </c>
      <c r="S72" s="5" t="inlineStr">
        <is>
          <t>Local School Durango</t>
        </is>
      </c>
      <c r="T72" s="81" t="n">
        <v>2</v>
      </c>
    </row>
    <row r="73" ht="15" customHeight="1">
      <c r="A73" s="55" t="inlineStr">
        <is>
          <t>CSR 65</t>
        </is>
      </c>
      <c r="B73" s="81" t="inlineStr">
        <is>
          <t>America</t>
        </is>
      </c>
      <c r="C73" s="3" t="inlineStr">
        <is>
          <t>Mexico</t>
        </is>
      </c>
      <c r="D73" s="3" t="inlineStr">
        <is>
          <t>Honduras</t>
        </is>
      </c>
      <c r="E73" s="3" t="inlineStr">
        <is>
          <t>Senior Citizen Assistance Program</t>
        </is>
      </c>
      <c r="F73" s="4" t="inlineStr">
        <is>
          <t>Social</t>
        </is>
      </c>
      <c r="G73" s="4" t="inlineStr">
        <is>
          <t>Charity/Donation</t>
        </is>
      </c>
      <c r="H73" s="47" t="n">
        <v>2024</v>
      </c>
      <c r="I73" s="5" t="n">
        <v>2024</v>
      </c>
      <c r="J73" s="5" t="n">
        <v>1</v>
      </c>
      <c r="K73" s="5" t="n">
        <v>177</v>
      </c>
      <c r="L73" s="5" t="n">
        <v>387</v>
      </c>
      <c r="M73" s="118">
        <f>K73/L73</f>
        <v/>
      </c>
      <c r="N73" s="5" t="n">
        <v>2500</v>
      </c>
      <c r="O73" s="5" t="n">
        <v>2186</v>
      </c>
      <c r="P73" s="5" t="inlineStr">
        <is>
          <t>NA</t>
        </is>
      </c>
      <c r="Q73" s="5" t="inlineStr">
        <is>
          <t>NA</t>
        </is>
      </c>
      <c r="R73" s="5" t="inlineStr">
        <is>
          <t>HR</t>
        </is>
      </c>
      <c r="S73" s="5" t="inlineStr">
        <is>
          <t>Local School Durango</t>
        </is>
      </c>
      <c r="T73" s="81" t="n">
        <v>2</v>
      </c>
    </row>
    <row r="74" ht="15" customHeight="1">
      <c r="A74" s="55" t="inlineStr">
        <is>
          <t>CSR 66</t>
        </is>
      </c>
      <c r="B74" s="81" t="inlineStr">
        <is>
          <t>America</t>
        </is>
      </c>
      <c r="C74" s="3" t="inlineStr">
        <is>
          <t>Mexico</t>
        </is>
      </c>
      <c r="D74" s="3" t="inlineStr">
        <is>
          <t>Honduras</t>
        </is>
      </c>
      <c r="E74" s="3" t="inlineStr">
        <is>
          <t>Disability Awareness Day</t>
        </is>
      </c>
      <c r="F74" s="4" t="inlineStr">
        <is>
          <t>Education</t>
        </is>
      </c>
      <c r="G74" s="4" t="inlineStr">
        <is>
          <t>Partnership</t>
        </is>
      </c>
      <c r="H74" s="47" t="n">
        <v>2024</v>
      </c>
      <c r="I74" s="5" t="n">
        <v>2024</v>
      </c>
      <c r="J74" s="5" t="n">
        <v>1</v>
      </c>
      <c r="K74" s="5" t="n">
        <v>59</v>
      </c>
      <c r="L74" s="5" t="n">
        <v>387</v>
      </c>
      <c r="M74" s="118">
        <f>K74/L74</f>
        <v/>
      </c>
      <c r="N74" s="5" t="n">
        <v>750</v>
      </c>
      <c r="O74" s="5" t="n">
        <v>738</v>
      </c>
      <c r="P74" s="5" t="n">
        <v>200</v>
      </c>
      <c r="Q74" s="5" t="inlineStr">
        <is>
          <t>Chairs restores</t>
        </is>
      </c>
      <c r="R74" s="5" t="inlineStr">
        <is>
          <t>HR</t>
        </is>
      </c>
      <c r="S74" s="5" t="inlineStr">
        <is>
          <t>Local Municipality</t>
        </is>
      </c>
      <c r="T74" s="81" t="n">
        <v>2</v>
      </c>
    </row>
    <row r="75" ht="15" customHeight="1">
      <c r="A75" s="55" t="inlineStr">
        <is>
          <t>CSR 67</t>
        </is>
      </c>
      <c r="B75" s="81" t="inlineStr">
        <is>
          <t>America</t>
        </is>
      </c>
      <c r="C75" s="3" t="inlineStr">
        <is>
          <t>Mexico</t>
        </is>
      </c>
      <c r="D75" s="3" t="inlineStr">
        <is>
          <t>Honduras</t>
        </is>
      </c>
      <c r="E75" s="3" t="inlineStr">
        <is>
          <t>Reforestation Campaign</t>
        </is>
      </c>
      <c r="F75" s="4" t="inlineStr">
        <is>
          <t>Sports</t>
        </is>
      </c>
      <c r="G75" s="4" t="inlineStr">
        <is>
          <t>Others</t>
        </is>
      </c>
      <c r="H75" s="47" t="n">
        <v>2024</v>
      </c>
      <c r="I75" s="5" t="n">
        <v>2024</v>
      </c>
      <c r="J75" s="5" t="n">
        <v>1</v>
      </c>
      <c r="K75" s="5" t="n">
        <v>73</v>
      </c>
      <c r="L75" s="5" t="n">
        <v>387</v>
      </c>
      <c r="M75" s="118">
        <f>K75/L75</f>
        <v/>
      </c>
      <c r="N75" s="5" t="n">
        <v>3000</v>
      </c>
      <c r="O75" s="5" t="n">
        <v>3242</v>
      </c>
      <c r="P75" s="5" t="inlineStr">
        <is>
          <t>NA</t>
        </is>
      </c>
      <c r="Q75" s="5" t="inlineStr">
        <is>
          <t>NA</t>
        </is>
      </c>
      <c r="R75" s="5" t="inlineStr">
        <is>
          <t>HR</t>
        </is>
      </c>
      <c r="S75" s="5" t="inlineStr">
        <is>
          <t>Local School Durango</t>
        </is>
      </c>
      <c r="T75" s="81" t="n">
        <v>1</v>
      </c>
    </row>
    <row r="76" ht="15" customHeight="1">
      <c r="A76" s="55" t="inlineStr">
        <is>
          <t>CSR 68</t>
        </is>
      </c>
      <c r="B76" s="81" t="inlineStr">
        <is>
          <t>America</t>
        </is>
      </c>
      <c r="C76" s="3" t="inlineStr">
        <is>
          <t>Mexico</t>
        </is>
      </c>
      <c r="D76" s="3" t="inlineStr">
        <is>
          <t>Honduras</t>
        </is>
      </c>
      <c r="E76" s="3" t="inlineStr">
        <is>
          <t>Community Pantry Donation</t>
        </is>
      </c>
      <c r="F76" s="4" t="inlineStr">
        <is>
          <t>Social</t>
        </is>
      </c>
      <c r="G76" s="4" t="inlineStr">
        <is>
          <t>Charity/Donation</t>
        </is>
      </c>
      <c r="H76" s="47" t="n">
        <v>2024</v>
      </c>
      <c r="I76" s="5" t="n">
        <v>2024</v>
      </c>
      <c r="J76" s="5" t="n">
        <v>1</v>
      </c>
      <c r="K76" s="5" t="n">
        <v>70</v>
      </c>
      <c r="L76" s="5" t="n">
        <v>387</v>
      </c>
      <c r="M76" s="118">
        <f>K76/L76</f>
        <v/>
      </c>
      <c r="N76" s="5" t="n">
        <v>750</v>
      </c>
      <c r="O76" s="5" t="n">
        <v>713</v>
      </c>
      <c r="P76" s="5" t="n">
        <v>94</v>
      </c>
      <c r="Q76" s="5" t="inlineStr">
        <is>
          <t>Doses of Vaccines</t>
        </is>
      </c>
      <c r="R76" s="5" t="inlineStr">
        <is>
          <t>HR</t>
        </is>
      </c>
      <c r="S76" s="5" t="inlineStr">
        <is>
          <t>Local School Durango</t>
        </is>
      </c>
      <c r="T76" s="81" t="n">
        <v>1</v>
      </c>
    </row>
    <row r="77" ht="15" customHeight="1">
      <c r="A77" s="55" t="inlineStr">
        <is>
          <t>CSR 69</t>
        </is>
      </c>
      <c r="B77" s="81" t="inlineStr">
        <is>
          <t>America</t>
        </is>
      </c>
      <c r="C77" s="3" t="inlineStr">
        <is>
          <t>Mexico</t>
        </is>
      </c>
      <c r="D77" s="3" t="inlineStr">
        <is>
          <t>Honduras</t>
        </is>
      </c>
      <c r="E77" s="3" t="inlineStr">
        <is>
          <t>Senior Citizen Assistance Program</t>
        </is>
      </c>
      <c r="F77" s="4" t="inlineStr">
        <is>
          <t>Environment</t>
        </is>
      </c>
      <c r="G77" s="4" t="inlineStr">
        <is>
          <t>Charity/Donation</t>
        </is>
      </c>
      <c r="H77" s="47" t="n">
        <v>2024</v>
      </c>
      <c r="I77" s="5" t="n">
        <v>2024</v>
      </c>
      <c r="J77" s="5" t="n">
        <v>1</v>
      </c>
      <c r="K77" s="5" t="n">
        <v>52</v>
      </c>
      <c r="L77" s="5" t="n">
        <v>387</v>
      </c>
      <c r="M77" s="118">
        <f>K77/L77</f>
        <v/>
      </c>
      <c r="N77" s="5" t="n">
        <v>1500</v>
      </c>
      <c r="O77" s="5" t="n">
        <v>1275</v>
      </c>
      <c r="P77" s="5" t="inlineStr">
        <is>
          <t>NA</t>
        </is>
      </c>
      <c r="Q77" s="5" t="inlineStr">
        <is>
          <t>NA</t>
        </is>
      </c>
      <c r="R77" s="5" t="inlineStr">
        <is>
          <t>HR</t>
        </is>
      </c>
      <c r="S77" s="5" t="inlineStr">
        <is>
          <t>Local School Durango</t>
        </is>
      </c>
      <c r="T77" s="5" t="n">
        <v>2</v>
      </c>
    </row>
    <row r="78" ht="15" customHeight="1">
      <c r="A78" s="55" t="inlineStr">
        <is>
          <t>CSR 70</t>
        </is>
      </c>
      <c r="B78" s="81" t="inlineStr">
        <is>
          <t>America</t>
        </is>
      </c>
      <c r="C78" s="3" t="inlineStr">
        <is>
          <t>Mexico</t>
        </is>
      </c>
      <c r="D78" s="3" t="inlineStr">
        <is>
          <t>Honduras</t>
        </is>
      </c>
      <c r="E78" s="12" t="inlineStr">
        <is>
          <t>Disability Awareness Day</t>
        </is>
      </c>
      <c r="F78" s="4" t="inlineStr">
        <is>
          <t>Social</t>
        </is>
      </c>
      <c r="G78" s="4" t="inlineStr">
        <is>
          <t>Sponsorship</t>
        </is>
      </c>
      <c r="H78" s="47" t="n">
        <v>2024</v>
      </c>
      <c r="I78" s="5" t="n">
        <v>2024</v>
      </c>
      <c r="J78" s="5" t="n">
        <v>1</v>
      </c>
      <c r="K78" s="5" t="n">
        <v>118</v>
      </c>
      <c r="L78" s="5" t="n">
        <v>387</v>
      </c>
      <c r="M78" s="118">
        <f>K78/L78</f>
        <v/>
      </c>
      <c r="N78" s="5" t="n">
        <v>2500</v>
      </c>
      <c r="O78" s="5" t="n">
        <v>2723</v>
      </c>
      <c r="P78" s="5" t="inlineStr">
        <is>
          <t>NA</t>
        </is>
      </c>
      <c r="Q78" s="5" t="inlineStr">
        <is>
          <t>NA</t>
        </is>
      </c>
      <c r="R78" s="5" t="inlineStr">
        <is>
          <t>HR</t>
        </is>
      </c>
      <c r="S78" s="5" t="inlineStr">
        <is>
          <t>Regional NGO Leon</t>
        </is>
      </c>
      <c r="T78" s="81" t="n">
        <v>2</v>
      </c>
    </row>
    <row r="79" ht="15" customHeight="1">
      <c r="A79" s="55" t="inlineStr">
        <is>
          <t>CSR 71</t>
        </is>
      </c>
      <c r="B79" s="81" t="inlineStr">
        <is>
          <t>America</t>
        </is>
      </c>
      <c r="C79" s="3" t="inlineStr">
        <is>
          <t>Mexico</t>
        </is>
      </c>
      <c r="D79" s="3" t="inlineStr">
        <is>
          <t>Honduras</t>
        </is>
      </c>
      <c r="E79" s="12" t="inlineStr">
        <is>
          <t>Reforestation Campaign</t>
        </is>
      </c>
      <c r="F79" s="4" t="inlineStr">
        <is>
          <t>Health</t>
        </is>
      </c>
      <c r="G79" s="4" t="inlineStr">
        <is>
          <t>Sponsorship</t>
        </is>
      </c>
      <c r="H79" s="47" t="n">
        <v>2024</v>
      </c>
      <c r="I79" s="5" t="n">
        <v>2024</v>
      </c>
      <c r="J79" s="5" t="n">
        <v>1</v>
      </c>
      <c r="K79" s="5" t="n">
        <v>65</v>
      </c>
      <c r="L79" s="5" t="n">
        <v>387</v>
      </c>
      <c r="M79" s="118">
        <f>K79/L79</f>
        <v/>
      </c>
      <c r="N79" s="5" t="n">
        <v>500</v>
      </c>
      <c r="O79" s="5" t="n">
        <v>497</v>
      </c>
      <c r="P79" s="5" t="inlineStr">
        <is>
          <t>NA</t>
        </is>
      </c>
      <c r="Q79" s="5" t="inlineStr">
        <is>
          <t>NA</t>
        </is>
      </c>
      <c r="R79" s="5" t="inlineStr">
        <is>
          <t>HR</t>
        </is>
      </c>
      <c r="S79" s="5" t="inlineStr">
        <is>
          <t>Regional NGO Leon</t>
        </is>
      </c>
      <c r="T79" s="81" t="n">
        <v>1</v>
      </c>
    </row>
    <row r="80" ht="15" customHeight="1">
      <c r="A80" s="55" t="inlineStr">
        <is>
          <t>CSR 72</t>
        </is>
      </c>
      <c r="B80" s="81" t="inlineStr">
        <is>
          <t>America</t>
        </is>
      </c>
      <c r="C80" s="3" t="inlineStr">
        <is>
          <t>Mexico</t>
        </is>
      </c>
      <c r="D80" s="3" t="inlineStr">
        <is>
          <t>Honduras</t>
        </is>
      </c>
      <c r="E80" s="12" t="inlineStr">
        <is>
          <t>Back-to-School Supply Donation</t>
        </is>
      </c>
      <c r="F80" s="4" t="inlineStr">
        <is>
          <t>Social</t>
        </is>
      </c>
      <c r="G80" s="4" t="inlineStr">
        <is>
          <t>Charity/Donation</t>
        </is>
      </c>
      <c r="H80" s="47" t="n">
        <v>2024</v>
      </c>
      <c r="I80" s="5" t="n">
        <v>2024</v>
      </c>
      <c r="J80" s="5" t="n">
        <v>1</v>
      </c>
      <c r="K80" s="5" t="n">
        <v>22</v>
      </c>
      <c r="L80" s="5" t="n">
        <v>387</v>
      </c>
      <c r="M80" s="118">
        <f>K80/L80</f>
        <v/>
      </c>
      <c r="N80" s="5" t="n">
        <v>2000</v>
      </c>
      <c r="O80" s="5" t="n">
        <v>1938</v>
      </c>
      <c r="P80" s="5" t="inlineStr">
        <is>
          <t>NA</t>
        </is>
      </c>
      <c r="Q80" s="5" t="inlineStr">
        <is>
          <t>NA</t>
        </is>
      </c>
      <c r="R80" s="5" t="inlineStr">
        <is>
          <t>HR</t>
        </is>
      </c>
      <c r="S80" s="5" t="inlineStr">
        <is>
          <t>Regional NGO Leon</t>
        </is>
      </c>
      <c r="T80" s="81" t="n">
        <v>1</v>
      </c>
    </row>
    <row r="81" ht="15" customHeight="1">
      <c r="A81" s="55" t="inlineStr">
        <is>
          <t>CSR 73</t>
        </is>
      </c>
      <c r="B81" s="81" t="inlineStr">
        <is>
          <t>America</t>
        </is>
      </c>
      <c r="C81" s="3" t="inlineStr">
        <is>
          <t>Mexico</t>
        </is>
      </c>
      <c r="D81" s="3" t="inlineStr">
        <is>
          <t>Honduras</t>
        </is>
      </c>
      <c r="E81" s="12" t="inlineStr">
        <is>
          <t>Community Pantry Donation</t>
        </is>
      </c>
      <c r="F81" s="4" t="inlineStr">
        <is>
          <t>Education</t>
        </is>
      </c>
      <c r="G81" s="4" t="inlineStr">
        <is>
          <t>Partnership</t>
        </is>
      </c>
      <c r="H81" s="47" t="n">
        <v>2024</v>
      </c>
      <c r="I81" s="5" t="n">
        <v>2024</v>
      </c>
      <c r="J81" s="5" t="n">
        <v>1</v>
      </c>
      <c r="K81" s="5" t="n">
        <v>27</v>
      </c>
      <c r="L81" s="5" t="n">
        <v>387</v>
      </c>
      <c r="M81" s="118">
        <f>K81/L81</f>
        <v/>
      </c>
      <c r="N81" s="5" t="n">
        <v>2000</v>
      </c>
      <c r="O81" s="5" t="n">
        <v>1733</v>
      </c>
      <c r="P81" s="5" t="inlineStr">
        <is>
          <t>NA</t>
        </is>
      </c>
      <c r="Q81" s="5" t="inlineStr">
        <is>
          <t>NA</t>
        </is>
      </c>
      <c r="R81" s="5" t="inlineStr">
        <is>
          <t>HR</t>
        </is>
      </c>
      <c r="S81" s="5" t="inlineStr">
        <is>
          <t>Local Municipality</t>
        </is>
      </c>
      <c r="T81" s="81" t="n">
        <v>2</v>
      </c>
    </row>
    <row r="82" ht="15.75" customHeight="1">
      <c r="A82" s="55" t="inlineStr">
        <is>
          <t>CSR 74</t>
        </is>
      </c>
      <c r="B82" s="81" t="inlineStr">
        <is>
          <t>America</t>
        </is>
      </c>
      <c r="C82" s="3" t="inlineStr">
        <is>
          <t>Mexico</t>
        </is>
      </c>
      <c r="D82" s="3" t="inlineStr">
        <is>
          <t>Juarez</t>
        </is>
      </c>
      <c r="E82" s="3" t="inlineStr">
        <is>
          <t>School Scholarship Program</t>
        </is>
      </c>
      <c r="F82" s="4" t="inlineStr">
        <is>
          <t>Health</t>
        </is>
      </c>
      <c r="G82" s="4" t="inlineStr">
        <is>
          <t>Charity/Donation</t>
        </is>
      </c>
      <c r="H82" s="47" t="n">
        <v>2024</v>
      </c>
      <c r="I82" s="5" t="n">
        <v>2024</v>
      </c>
      <c r="J82" s="5" t="n">
        <v>1</v>
      </c>
      <c r="K82" s="5" t="n">
        <v>162</v>
      </c>
      <c r="L82" s="5" t="n">
        <v>387</v>
      </c>
      <c r="M82" s="118">
        <f>K82/L82</f>
        <v/>
      </c>
      <c r="N82" s="5" t="n">
        <v>500</v>
      </c>
      <c r="O82" s="5" t="n">
        <v>502</v>
      </c>
      <c r="P82" s="5" t="inlineStr">
        <is>
          <t>NA</t>
        </is>
      </c>
      <c r="Q82" s="5" t="inlineStr">
        <is>
          <t>NA</t>
        </is>
      </c>
      <c r="R82" s="5" t="inlineStr">
        <is>
          <t>HR</t>
        </is>
      </c>
      <c r="S82" s="5" t="inlineStr">
        <is>
          <t>Local School Durango</t>
        </is>
      </c>
      <c r="T82" s="81" t="n">
        <v>2</v>
      </c>
    </row>
    <row r="83" ht="15" customHeight="1">
      <c r="A83" s="55" t="inlineStr">
        <is>
          <t>CSR 75</t>
        </is>
      </c>
      <c r="B83" s="81" t="inlineStr">
        <is>
          <t>America</t>
        </is>
      </c>
      <c r="C83" s="3" t="inlineStr">
        <is>
          <t>Mexico</t>
        </is>
      </c>
      <c r="D83" s="3" t="inlineStr">
        <is>
          <t>Juarez</t>
        </is>
      </c>
      <c r="E83" s="3" t="inlineStr">
        <is>
          <t>Women in STEM Sponsorship</t>
        </is>
      </c>
      <c r="F83" s="4" t="inlineStr">
        <is>
          <t>Health</t>
        </is>
      </c>
      <c r="G83" s="4" t="inlineStr">
        <is>
          <t>Charity/Donation</t>
        </is>
      </c>
      <c r="H83" s="47" t="n">
        <v>2024</v>
      </c>
      <c r="I83" s="5" t="n">
        <v>2024</v>
      </c>
      <c r="J83" s="5" t="n">
        <v>1</v>
      </c>
      <c r="K83" s="5" t="n">
        <v>193</v>
      </c>
      <c r="L83" s="5" t="n">
        <v>870</v>
      </c>
      <c r="M83" s="118">
        <f>K83/L83</f>
        <v/>
      </c>
      <c r="N83" s="5" t="n">
        <v>1000</v>
      </c>
      <c r="O83" s="5" t="n">
        <v>909</v>
      </c>
      <c r="P83" s="5" t="inlineStr">
        <is>
          <t>NA</t>
        </is>
      </c>
      <c r="Q83" s="5" t="inlineStr">
        <is>
          <t>NA</t>
        </is>
      </c>
      <c r="R83" s="5" t="inlineStr">
        <is>
          <t>HR</t>
        </is>
      </c>
      <c r="S83" s="5" t="inlineStr">
        <is>
          <t>Local School Durango</t>
        </is>
      </c>
      <c r="T83" s="81" t="n">
        <v>1</v>
      </c>
    </row>
    <row r="84" ht="15" customHeight="1">
      <c r="A84" s="55" t="inlineStr">
        <is>
          <t>CSR 76</t>
        </is>
      </c>
      <c r="B84" s="81" t="inlineStr">
        <is>
          <t>North Africa</t>
        </is>
      </c>
      <c r="C84" s="3" t="inlineStr">
        <is>
          <t>Tunisia</t>
        </is>
      </c>
      <c r="D84" s="3" t="inlineStr">
        <is>
          <t>Tunis</t>
        </is>
      </c>
      <c r="E84" s="3" t="inlineStr">
        <is>
          <t>Tree Plantation Campaign</t>
        </is>
      </c>
      <c r="F84" s="4" t="inlineStr">
        <is>
          <t>Sports</t>
        </is>
      </c>
      <c r="G84" s="4" t="inlineStr">
        <is>
          <t>Others</t>
        </is>
      </c>
      <c r="H84" s="47" t="n">
        <v>2024</v>
      </c>
      <c r="I84" s="5" t="n">
        <v>2024</v>
      </c>
      <c r="J84" s="5" t="n">
        <v>2</v>
      </c>
      <c r="K84" s="5" t="n">
        <v>90</v>
      </c>
      <c r="L84" s="5" t="n">
        <v>698</v>
      </c>
      <c r="M84" s="118">
        <f>K84/L84</f>
        <v/>
      </c>
      <c r="N84" s="5" t="n">
        <v>3000</v>
      </c>
      <c r="O84" s="5" t="n">
        <v>3251</v>
      </c>
      <c r="P84" s="5" t="n">
        <v>13</v>
      </c>
      <c r="Q84" s="5" t="inlineStr">
        <is>
          <t>Women exposed</t>
        </is>
      </c>
      <c r="R84" s="5" t="inlineStr">
        <is>
          <t>CSR Committe</t>
        </is>
      </c>
      <c r="S84" s="81" t="inlineStr">
        <is>
          <t>Local Municipality</t>
        </is>
      </c>
      <c r="T84" s="81" t="n">
        <v>2</v>
      </c>
    </row>
    <row r="85" ht="37.5" customHeight="1">
      <c r="A85" s="55" t="inlineStr">
        <is>
          <t>CSR 77</t>
        </is>
      </c>
      <c r="B85" s="81" t="inlineStr">
        <is>
          <t>North Africa</t>
        </is>
      </c>
      <c r="C85" s="3" t="inlineStr">
        <is>
          <t>Tunisia</t>
        </is>
      </c>
      <c r="D85" s="3" t="inlineStr">
        <is>
          <t>Tunis</t>
        </is>
      </c>
      <c r="E85" s="12" t="inlineStr">
        <is>
          <t>Community Health Screening</t>
        </is>
      </c>
      <c r="F85" s="4" t="inlineStr">
        <is>
          <t>Education</t>
        </is>
      </c>
      <c r="G85" s="4" t="inlineStr">
        <is>
          <t>Charity/Donation</t>
        </is>
      </c>
      <c r="H85" s="47" t="n">
        <v>2024</v>
      </c>
      <c r="I85" s="5" t="n">
        <v>2024</v>
      </c>
      <c r="J85" s="5" t="n">
        <v>1</v>
      </c>
      <c r="K85" s="5" t="n">
        <v>147</v>
      </c>
      <c r="L85" s="5" t="n">
        <v>698</v>
      </c>
      <c r="M85" s="118">
        <f>K85/L85</f>
        <v/>
      </c>
      <c r="N85" s="5" t="n">
        <v>750</v>
      </c>
      <c r="O85" s="5" t="n">
        <v>732</v>
      </c>
      <c r="P85" s="5" t="n">
        <v>24</v>
      </c>
      <c r="Q85" s="5" t="inlineStr">
        <is>
          <t>childrens</t>
        </is>
      </c>
      <c r="R85" s="5" t="inlineStr">
        <is>
          <t>HR</t>
        </is>
      </c>
      <c r="S85" s="5" t="inlineStr">
        <is>
          <t>Red Crescent</t>
        </is>
      </c>
      <c r="T85" s="81" t="n">
        <v>2</v>
      </c>
    </row>
    <row r="86" ht="30" customHeight="1">
      <c r="A86" s="55" t="inlineStr">
        <is>
          <t>CSR 78</t>
        </is>
      </c>
      <c r="B86" s="81" t="inlineStr">
        <is>
          <t>North Africa</t>
        </is>
      </c>
      <c r="C86" s="3" t="inlineStr">
        <is>
          <t>Tunisia</t>
        </is>
      </c>
      <c r="D86" s="3" t="inlineStr">
        <is>
          <t>Tunis</t>
        </is>
      </c>
      <c r="E86" s="3" t="inlineStr">
        <is>
          <t>Ramadan Food Distribution</t>
        </is>
      </c>
      <c r="F86" s="4" t="inlineStr">
        <is>
          <t>Health</t>
        </is>
      </c>
      <c r="G86" s="4" t="inlineStr">
        <is>
          <t>Sponsorship</t>
        </is>
      </c>
      <c r="H86" s="47" t="n">
        <v>2024</v>
      </c>
      <c r="I86" s="5" t="n">
        <v>2024</v>
      </c>
      <c r="J86" s="5" t="n">
        <v>3</v>
      </c>
      <c r="K86" s="5" t="n">
        <v>82</v>
      </c>
      <c r="L86" s="5" t="n">
        <v>698</v>
      </c>
      <c r="M86" s="118">
        <f>K86/L86</f>
        <v/>
      </c>
      <c r="N86" s="5" t="n">
        <v>750</v>
      </c>
      <c r="O86" s="5" t="n">
        <v>719</v>
      </c>
      <c r="P86" s="5" t="n">
        <v>1600</v>
      </c>
      <c r="Q86" s="5" t="inlineStr">
        <is>
          <t xml:space="preserve">Students </t>
        </is>
      </c>
      <c r="R86" s="5" t="inlineStr">
        <is>
          <t>CSR Committe</t>
        </is>
      </c>
      <c r="S86" s="5" t="inlineStr">
        <is>
          <t>Youth Association Tunisia</t>
        </is>
      </c>
      <c r="T86" s="81" t="n">
        <v>2</v>
      </c>
    </row>
    <row r="87" ht="30" customHeight="1">
      <c r="A87" s="55" t="inlineStr">
        <is>
          <t>CSR 79</t>
        </is>
      </c>
      <c r="B87" s="81" t="inlineStr">
        <is>
          <t>North Africa</t>
        </is>
      </c>
      <c r="C87" s="3" t="inlineStr">
        <is>
          <t>Tunisia</t>
        </is>
      </c>
      <c r="D87" s="3" t="inlineStr">
        <is>
          <t>Tunis</t>
        </is>
      </c>
      <c r="E87" s="3" t="inlineStr">
        <is>
          <t>Community Health Screening</t>
        </is>
      </c>
      <c r="F87" s="4" t="inlineStr">
        <is>
          <t>Social</t>
        </is>
      </c>
      <c r="G87" s="4" t="inlineStr">
        <is>
          <t>Charity/Donation</t>
        </is>
      </c>
      <c r="H87" s="47" t="n">
        <v>2024</v>
      </c>
      <c r="I87" s="5" t="n">
        <v>2024</v>
      </c>
      <c r="J87" s="5" t="n">
        <v>1</v>
      </c>
      <c r="K87" s="5" t="n">
        <v>151</v>
      </c>
      <c r="L87" s="5" t="n">
        <v>698</v>
      </c>
      <c r="M87" s="118">
        <f>K87/L87</f>
        <v/>
      </c>
      <c r="N87" s="5" t="n">
        <v>1000</v>
      </c>
      <c r="O87" s="5" t="n">
        <v>1082</v>
      </c>
      <c r="P87" s="5" t="n">
        <v>224</v>
      </c>
      <c r="Q87" s="5" t="inlineStr">
        <is>
          <t>KG of waste</t>
        </is>
      </c>
      <c r="R87" s="5" t="inlineStr">
        <is>
          <t>CSR Committe</t>
        </is>
      </c>
      <c r="S87" s="5" t="inlineStr">
        <is>
          <t>Local Municipality</t>
        </is>
      </c>
      <c r="T87" s="81" t="n">
        <v>1</v>
      </c>
    </row>
    <row r="88" ht="45" customHeight="1">
      <c r="A88" s="55" t="inlineStr">
        <is>
          <t>CSR 80</t>
        </is>
      </c>
      <c r="B88" s="81" t="inlineStr">
        <is>
          <t>North Africa</t>
        </is>
      </c>
      <c r="C88" s="3" t="inlineStr">
        <is>
          <t>Tunisia</t>
        </is>
      </c>
      <c r="D88" s="3" t="inlineStr">
        <is>
          <t>Tunis</t>
        </is>
      </c>
      <c r="E88" s="3" t="inlineStr">
        <is>
          <t>Youth Vocational Training</t>
        </is>
      </c>
      <c r="F88" s="4" t="inlineStr">
        <is>
          <t>Education</t>
        </is>
      </c>
      <c r="G88" s="4" t="inlineStr">
        <is>
          <t>Charity/Donation</t>
        </is>
      </c>
      <c r="H88" s="47" t="n">
        <v>2024</v>
      </c>
      <c r="I88" s="5" t="n">
        <v>2024</v>
      </c>
      <c r="J88" s="5" t="n">
        <v>1</v>
      </c>
      <c r="K88" s="5" t="n">
        <v>200</v>
      </c>
      <c r="L88" s="5" t="n">
        <v>698</v>
      </c>
      <c r="M88" s="118">
        <f>K88/L88</f>
        <v/>
      </c>
      <c r="N88" s="5" t="n">
        <v>2000</v>
      </c>
      <c r="O88" s="5" t="n">
        <v>1777</v>
      </c>
      <c r="P88" s="5" t="n">
        <v>2</v>
      </c>
      <c r="Q88" s="5" t="inlineStr">
        <is>
          <t>Classrooms built</t>
        </is>
      </c>
      <c r="R88" s="5" t="inlineStr">
        <is>
          <t>HR</t>
        </is>
      </c>
      <c r="S88" s="5" t="inlineStr">
        <is>
          <t>Local School</t>
        </is>
      </c>
      <c r="T88" s="81" t="n">
        <v>1</v>
      </c>
    </row>
    <row r="89" ht="45" customHeight="1">
      <c r="A89" s="55" t="inlineStr">
        <is>
          <t>CSR 81</t>
        </is>
      </c>
      <c r="B89" s="81" t="inlineStr">
        <is>
          <t>North Africa</t>
        </is>
      </c>
      <c r="C89" s="3" t="inlineStr">
        <is>
          <t>Tunisia</t>
        </is>
      </c>
      <c r="D89" s="3" t="inlineStr">
        <is>
          <t>Tunis</t>
        </is>
      </c>
      <c r="E89" s="3" t="inlineStr">
        <is>
          <t>Orphanage Visit &amp; Donation</t>
        </is>
      </c>
      <c r="F89" s="4" t="inlineStr">
        <is>
          <t>Social</t>
        </is>
      </c>
      <c r="G89" s="4" t="inlineStr">
        <is>
          <t>Partnership</t>
        </is>
      </c>
      <c r="H89" s="47" t="n">
        <v>2024</v>
      </c>
      <c r="I89" s="5" t="n">
        <v>2024</v>
      </c>
      <c r="J89" s="5" t="n">
        <v>1</v>
      </c>
      <c r="K89" s="5" t="n">
        <v>185</v>
      </c>
      <c r="L89" s="5" t="n">
        <v>698</v>
      </c>
      <c r="M89" s="118">
        <f>K89/L89</f>
        <v/>
      </c>
      <c r="N89" s="5" t="n">
        <v>2500</v>
      </c>
      <c r="O89" s="5" t="n">
        <v>2658</v>
      </c>
      <c r="P89" s="5" t="n">
        <v>51</v>
      </c>
      <c r="Q89" s="5" t="inlineStr">
        <is>
          <t>units of blood</t>
        </is>
      </c>
      <c r="R89" s="5" t="inlineStr">
        <is>
          <t>HR</t>
        </is>
      </c>
      <c r="S89" s="5" t="inlineStr">
        <is>
          <t>Youth Association Tunisia</t>
        </is>
      </c>
      <c r="T89" s="81" t="n">
        <v>2</v>
      </c>
    </row>
    <row r="90" ht="45" customHeight="1">
      <c r="A90" s="55" t="inlineStr">
        <is>
          <t>CSR 82</t>
        </is>
      </c>
      <c r="B90" s="81" t="inlineStr">
        <is>
          <t>North Africa</t>
        </is>
      </c>
      <c r="C90" s="3" t="inlineStr">
        <is>
          <t>Tunisia</t>
        </is>
      </c>
      <c r="D90" s="3" t="inlineStr">
        <is>
          <t>Tunis</t>
        </is>
      </c>
      <c r="E90" s="12" t="inlineStr">
        <is>
          <t>Youth Vocational Training</t>
        </is>
      </c>
      <c r="F90" s="4" t="inlineStr">
        <is>
          <t>Social</t>
        </is>
      </c>
      <c r="G90" s="4" t="inlineStr">
        <is>
          <t>Charity/Donation</t>
        </is>
      </c>
      <c r="H90" s="47" t="n">
        <v>2024</v>
      </c>
      <c r="I90" s="5" t="n">
        <v>2024</v>
      </c>
      <c r="J90" s="5" t="n">
        <v>1</v>
      </c>
      <c r="K90" s="5" t="n">
        <v>172</v>
      </c>
      <c r="L90" s="5" t="n">
        <v>698</v>
      </c>
      <c r="M90" s="118">
        <f>K90/L90</f>
        <v/>
      </c>
      <c r="N90" s="5" t="n">
        <v>1500</v>
      </c>
      <c r="O90" s="5" t="n">
        <v>1586</v>
      </c>
      <c r="P90" s="5" t="n">
        <v>50</v>
      </c>
      <c r="Q90" s="5" t="inlineStr">
        <is>
          <t>families in need</t>
        </is>
      </c>
      <c r="R90" s="5" t="inlineStr">
        <is>
          <t>HR</t>
        </is>
      </c>
      <c r="S90" s="5" t="inlineStr">
        <is>
          <t>Local Municipality</t>
        </is>
      </c>
      <c r="T90" s="81" t="n">
        <v>1</v>
      </c>
    </row>
    <row r="91" ht="30" customHeight="1">
      <c r="A91" s="55" t="inlineStr">
        <is>
          <t>CSR 83</t>
        </is>
      </c>
      <c r="B91" s="81" t="inlineStr">
        <is>
          <t>North Africa</t>
        </is>
      </c>
      <c r="C91" s="3" t="inlineStr">
        <is>
          <t>Tunisia</t>
        </is>
      </c>
      <c r="D91" s="3" t="inlineStr">
        <is>
          <t>Tunis</t>
        </is>
      </c>
      <c r="E91" s="12" t="inlineStr">
        <is>
          <t>Blood Donation Campaign</t>
        </is>
      </c>
      <c r="F91" s="4" t="inlineStr">
        <is>
          <t>Environment</t>
        </is>
      </c>
      <c r="G91" s="4" t="inlineStr">
        <is>
          <t>Charity/Donation</t>
        </is>
      </c>
      <c r="H91" s="47" t="n">
        <v>2024</v>
      </c>
      <c r="I91" s="5" t="n">
        <v>2024</v>
      </c>
      <c r="J91" s="5" t="n">
        <v>1</v>
      </c>
      <c r="K91" s="5" t="n">
        <v>77</v>
      </c>
      <c r="L91" s="5" t="n">
        <v>698</v>
      </c>
      <c r="M91" s="118">
        <f>K91/L91</f>
        <v/>
      </c>
      <c r="N91" s="5" t="n">
        <v>750</v>
      </c>
      <c r="O91" s="5" t="n">
        <v>776</v>
      </c>
      <c r="P91" s="5" t="n">
        <v>430</v>
      </c>
      <c r="Q91" s="5" t="inlineStr">
        <is>
          <t>Women benefited</t>
        </is>
      </c>
      <c r="R91" s="5" t="inlineStr">
        <is>
          <t>CSR Committe</t>
        </is>
      </c>
      <c r="S91" s="5" t="inlineStr">
        <is>
          <t>Youth Association Tunisia</t>
        </is>
      </c>
      <c r="T91" s="81" t="n">
        <v>2</v>
      </c>
    </row>
    <row r="92" ht="30" customHeight="1">
      <c r="A92" s="55" t="inlineStr">
        <is>
          <t>CSR 84</t>
        </is>
      </c>
      <c r="B92" s="81" t="inlineStr">
        <is>
          <t>North Africa</t>
        </is>
      </c>
      <c r="C92" s="3" t="inlineStr">
        <is>
          <t>Tunisia</t>
        </is>
      </c>
      <c r="D92" s="3" t="inlineStr">
        <is>
          <t>Tunis</t>
        </is>
      </c>
      <c r="E92" s="12" t="inlineStr">
        <is>
          <t>Literacy Program Support</t>
        </is>
      </c>
      <c r="F92" s="4" t="inlineStr">
        <is>
          <t>Social</t>
        </is>
      </c>
      <c r="G92" s="4" t="inlineStr">
        <is>
          <t>Charity/Donation</t>
        </is>
      </c>
      <c r="H92" s="47" t="n">
        <v>2024</v>
      </c>
      <c r="I92" s="5" t="n">
        <v>2024</v>
      </c>
      <c r="J92" s="5" t="n">
        <v>1</v>
      </c>
      <c r="K92" s="5" t="n">
        <v>29</v>
      </c>
      <c r="L92" s="5" t="n">
        <v>698</v>
      </c>
      <c r="M92" s="118">
        <f>K92/L92</f>
        <v/>
      </c>
      <c r="N92" s="5" t="n">
        <v>2500</v>
      </c>
      <c r="O92" s="5" t="n">
        <v>2689</v>
      </c>
      <c r="P92" s="5" t="n">
        <v>5000</v>
      </c>
      <c r="Q92" s="5" t="inlineStr">
        <is>
          <t>Trees</t>
        </is>
      </c>
      <c r="R92" s="5" t="inlineStr">
        <is>
          <t>CSR Committe</t>
        </is>
      </c>
      <c r="S92" s="5" t="inlineStr">
        <is>
          <t>Youth Association Tunisia</t>
        </is>
      </c>
      <c r="T92" s="5" t="n">
        <v>1</v>
      </c>
    </row>
    <row r="93" ht="30" customHeight="1">
      <c r="A93" s="55" t="inlineStr">
        <is>
          <t>CSR 85</t>
        </is>
      </c>
      <c r="B93" s="81" t="inlineStr">
        <is>
          <t>North Africa</t>
        </is>
      </c>
      <c r="C93" s="3" t="inlineStr">
        <is>
          <t>Tunisia</t>
        </is>
      </c>
      <c r="D93" s="3" t="inlineStr">
        <is>
          <t>Tunis</t>
        </is>
      </c>
      <c r="E93" s="3" t="inlineStr">
        <is>
          <t>Battery Recycling Drive</t>
        </is>
      </c>
      <c r="F93" s="4" t="inlineStr">
        <is>
          <t>Social</t>
        </is>
      </c>
      <c r="G93" s="4" t="inlineStr">
        <is>
          <t>Charity/Donation</t>
        </is>
      </c>
      <c r="H93" s="47" t="n">
        <v>2024</v>
      </c>
      <c r="I93" s="5" t="n">
        <v>2024</v>
      </c>
      <c r="J93" s="5" t="n">
        <v>1</v>
      </c>
      <c r="K93" s="5" t="n">
        <v>151</v>
      </c>
      <c r="L93" s="5" t="n">
        <v>698</v>
      </c>
      <c r="M93" s="118">
        <f>K93/L93</f>
        <v/>
      </c>
      <c r="N93" s="5" t="n">
        <v>750</v>
      </c>
      <c r="O93" s="5" t="n">
        <v>718</v>
      </c>
      <c r="P93" s="5" t="inlineStr">
        <is>
          <t>NA</t>
        </is>
      </c>
      <c r="Q93" s="5" t="inlineStr">
        <is>
          <t>NA</t>
        </is>
      </c>
      <c r="R93" s="5" t="inlineStr">
        <is>
          <t>HR</t>
        </is>
      </c>
      <c r="S93" s="5" t="inlineStr">
        <is>
          <t>Local Municipality</t>
        </is>
      </c>
      <c r="T93" s="81" t="n">
        <v>2</v>
      </c>
    </row>
    <row r="94" ht="24.75" customHeight="1">
      <c r="A94" s="55" t="inlineStr">
        <is>
          <t>CSR 86</t>
        </is>
      </c>
      <c r="B94" s="81" t="inlineStr">
        <is>
          <t>North Africa</t>
        </is>
      </c>
      <c r="C94" s="3" t="inlineStr">
        <is>
          <t>Tunisia</t>
        </is>
      </c>
      <c r="D94" s="3" t="inlineStr">
        <is>
          <t>Tunis</t>
        </is>
      </c>
      <c r="E94" s="3" t="inlineStr">
        <is>
          <t>Blood Donation Campaign</t>
        </is>
      </c>
      <c r="F94" s="4" t="inlineStr">
        <is>
          <t>Social</t>
        </is>
      </c>
      <c r="G94" s="4" t="inlineStr">
        <is>
          <t>Sponsorship</t>
        </is>
      </c>
      <c r="H94" s="47" t="n">
        <v>2024</v>
      </c>
      <c r="I94" s="5" t="n">
        <v>2024</v>
      </c>
      <c r="J94" s="5" t="n">
        <v>1</v>
      </c>
      <c r="K94" s="5" t="n">
        <v>63</v>
      </c>
      <c r="L94" s="5" t="n">
        <v>698</v>
      </c>
      <c r="M94" s="118">
        <f>K94/L94</f>
        <v/>
      </c>
      <c r="N94" s="5" t="n">
        <v>2500</v>
      </c>
      <c r="O94" s="5" t="n">
        <v>2280</v>
      </c>
      <c r="P94" s="5" t="inlineStr">
        <is>
          <t>NA</t>
        </is>
      </c>
      <c r="Q94" s="5" t="inlineStr">
        <is>
          <t>NA</t>
        </is>
      </c>
      <c r="R94" s="5" t="inlineStr">
        <is>
          <t>HR</t>
        </is>
      </c>
      <c r="S94" s="5" t="inlineStr">
        <is>
          <t>Local Municipality</t>
        </is>
      </c>
      <c r="T94" s="81" t="n">
        <v>2</v>
      </c>
    </row>
    <row r="95" ht="22.5" customHeight="1">
      <c r="A95" s="55" t="inlineStr">
        <is>
          <t>CSR 87</t>
        </is>
      </c>
      <c r="B95" s="81" t="inlineStr">
        <is>
          <t>North Africa</t>
        </is>
      </c>
      <c r="C95" s="3" t="inlineStr">
        <is>
          <t>Tunisia</t>
        </is>
      </c>
      <c r="D95" s="3" t="inlineStr">
        <is>
          <t>Mdjez el beb</t>
        </is>
      </c>
      <c r="E95" s="114" t="inlineStr">
        <is>
          <t>Cap for Handicap Collection</t>
        </is>
      </c>
      <c r="F95" s="4" t="inlineStr">
        <is>
          <t>Environment</t>
        </is>
      </c>
      <c r="G95" s="4" t="inlineStr">
        <is>
          <t>Charity/Donation</t>
        </is>
      </c>
      <c r="H95" s="47" t="n">
        <v>2024</v>
      </c>
      <c r="I95" s="5" t="n">
        <v>2024</v>
      </c>
      <c r="J95" s="5" t="n">
        <v>1</v>
      </c>
      <c r="K95" s="81" t="n">
        <v>49</v>
      </c>
      <c r="L95" s="5" t="n">
        <v>314</v>
      </c>
      <c r="M95" s="118">
        <f>K95/L95</f>
        <v/>
      </c>
      <c r="N95" s="5" t="n">
        <v>750</v>
      </c>
      <c r="O95" s="81" t="n">
        <v>799</v>
      </c>
      <c r="P95" s="81" t="n">
        <v>4</v>
      </c>
      <c r="Q95" s="81" t="inlineStr">
        <is>
          <t>Textile Machines</t>
        </is>
      </c>
      <c r="R95" s="81" t="inlineStr">
        <is>
          <t>HR</t>
        </is>
      </c>
      <c r="S95" s="81" t="inlineStr">
        <is>
          <t>Red Crescent</t>
        </is>
      </c>
      <c r="T95" s="81" t="n">
        <v>2</v>
      </c>
    </row>
    <row r="96" ht="22.5" customHeight="1">
      <c r="A96" s="55" t="inlineStr">
        <is>
          <t>CSR 87</t>
        </is>
      </c>
      <c r="B96" s="81" t="inlineStr">
        <is>
          <t>North Africa</t>
        </is>
      </c>
      <c r="C96" s="3" t="inlineStr">
        <is>
          <t>Tunisia</t>
        </is>
      </c>
      <c r="D96" s="3" t="inlineStr">
        <is>
          <t>Mdjez el beb</t>
        </is>
      </c>
      <c r="E96" s="114" t="inlineStr">
        <is>
          <t>School Renovation Project</t>
        </is>
      </c>
      <c r="F96" s="4" t="inlineStr">
        <is>
          <t>Environment</t>
        </is>
      </c>
      <c r="G96" s="4" t="inlineStr">
        <is>
          <t>Charity/Donation</t>
        </is>
      </c>
      <c r="H96" s="47" t="n">
        <v>2024</v>
      </c>
      <c r="I96" s="5" t="n">
        <v>2024</v>
      </c>
      <c r="J96" s="5" t="n">
        <v>1</v>
      </c>
      <c r="K96" s="81" t="n">
        <v>95</v>
      </c>
      <c r="L96" s="5" t="n">
        <v>314</v>
      </c>
      <c r="M96" s="118">
        <f>K96/L96</f>
        <v/>
      </c>
      <c r="N96" s="5" t="n">
        <v>3000</v>
      </c>
      <c r="O96" s="81" t="n">
        <v>3248</v>
      </c>
      <c r="P96" s="81" t="n">
        <v>6</v>
      </c>
      <c r="Q96" s="81" t="inlineStr">
        <is>
          <t>Small businesses</t>
        </is>
      </c>
      <c r="R96" s="81" t="inlineStr">
        <is>
          <t>HR</t>
        </is>
      </c>
      <c r="S96" s="81" t="inlineStr">
        <is>
          <t>Moroccan Association for Education</t>
        </is>
      </c>
      <c r="T96" s="81" t="n">
        <v>1</v>
      </c>
    </row>
    <row r="97" ht="30" customHeight="1">
      <c r="A97" s="55" t="inlineStr">
        <is>
          <t>CSR 88</t>
        </is>
      </c>
      <c r="B97" s="81" t="inlineStr">
        <is>
          <t>North Africa</t>
        </is>
      </c>
      <c r="C97" s="3" t="inlineStr">
        <is>
          <t>Tunisia</t>
        </is>
      </c>
      <c r="D97" s="3" t="inlineStr">
        <is>
          <t>Mdjez el beb</t>
        </is>
      </c>
      <c r="E97" s="3" t="inlineStr">
        <is>
          <t>Youth Vocational Training</t>
        </is>
      </c>
      <c r="F97" s="4" t="inlineStr">
        <is>
          <t>Environment</t>
        </is>
      </c>
      <c r="G97" s="4" t="inlineStr">
        <is>
          <t>Charity/Donation</t>
        </is>
      </c>
      <c r="H97" s="47" t="n">
        <v>2024</v>
      </c>
      <c r="I97" s="5" t="n">
        <v>2024</v>
      </c>
      <c r="J97" s="5" t="n">
        <v>1</v>
      </c>
      <c r="K97" s="81" t="n">
        <v>37</v>
      </c>
      <c r="L97" s="5" t="n">
        <v>314</v>
      </c>
      <c r="M97" s="118">
        <f>K97/L97</f>
        <v/>
      </c>
      <c r="N97" s="5" t="n">
        <v>1500</v>
      </c>
      <c r="O97" s="81" t="n">
        <v>1602</v>
      </c>
      <c r="P97" s="81" t="n">
        <v>5</v>
      </c>
      <c r="Q97" s="5" t="inlineStr">
        <is>
          <t>Participants</t>
        </is>
      </c>
      <c r="R97" s="81" t="inlineStr">
        <is>
          <t>HR</t>
        </is>
      </c>
      <c r="S97" s="81" t="inlineStr">
        <is>
          <t>Community NGO</t>
        </is>
      </c>
      <c r="T97" s="81" t="n">
        <v>1</v>
      </c>
    </row>
    <row r="98" ht="30" customHeight="1">
      <c r="A98" s="55" t="inlineStr">
        <is>
          <t>CSR 89</t>
        </is>
      </c>
      <c r="B98" s="81" t="inlineStr">
        <is>
          <t>North Africa</t>
        </is>
      </c>
      <c r="C98" s="3" t="inlineStr">
        <is>
          <t>Tunisia</t>
        </is>
      </c>
      <c r="D98" s="3" t="inlineStr">
        <is>
          <t>Mdjez el beb</t>
        </is>
      </c>
      <c r="E98" s="14" t="inlineStr">
        <is>
          <t>Women Cooperative Support</t>
        </is>
      </c>
      <c r="F98" s="4" t="inlineStr">
        <is>
          <t>Social</t>
        </is>
      </c>
      <c r="G98" s="4" t="inlineStr">
        <is>
          <t>Sponsorship</t>
        </is>
      </c>
      <c r="H98" s="47" t="n">
        <v>2024</v>
      </c>
      <c r="I98" s="5" t="n">
        <v>2024</v>
      </c>
      <c r="J98" s="5" t="n">
        <v>1</v>
      </c>
      <c r="K98" s="81" t="n">
        <v>88</v>
      </c>
      <c r="L98" s="5" t="n">
        <v>314</v>
      </c>
      <c r="M98" s="118">
        <f>K98/L98</f>
        <v/>
      </c>
      <c r="N98" s="5" t="n">
        <v>3000</v>
      </c>
      <c r="O98" s="81" t="n">
        <v>3146</v>
      </c>
      <c r="P98" s="81" t="n">
        <v>30</v>
      </c>
      <c r="Q98" s="81" t="inlineStr">
        <is>
          <t>Children</t>
        </is>
      </c>
      <c r="R98" s="81" t="inlineStr">
        <is>
          <t>HR</t>
        </is>
      </c>
      <c r="S98" s="5" t="inlineStr">
        <is>
          <t>Red Crescent</t>
        </is>
      </c>
      <c r="T98" s="81" t="n">
        <v>1</v>
      </c>
    </row>
    <row r="99" ht="30" customHeight="1">
      <c r="A99" s="55" t="inlineStr">
        <is>
          <t>CSR 90</t>
        </is>
      </c>
      <c r="B99" s="81" t="inlineStr">
        <is>
          <t>North Africa</t>
        </is>
      </c>
      <c r="C99" s="3" t="inlineStr">
        <is>
          <t>Tunisia</t>
        </is>
      </c>
      <c r="D99" s="3" t="inlineStr">
        <is>
          <t>Mdjez el beb</t>
        </is>
      </c>
      <c r="E99" s="14" t="inlineStr">
        <is>
          <t>School Renovation Project</t>
        </is>
      </c>
      <c r="F99" s="4" t="inlineStr">
        <is>
          <t>Health</t>
        </is>
      </c>
      <c r="G99" s="4" t="inlineStr">
        <is>
          <t>Others</t>
        </is>
      </c>
      <c r="H99" s="47" t="n">
        <v>2024</v>
      </c>
      <c r="I99" s="5" t="n">
        <v>2024</v>
      </c>
      <c r="J99" s="5" t="n">
        <v>1</v>
      </c>
      <c r="K99" s="81" t="n">
        <v>94</v>
      </c>
      <c r="L99" s="5" t="n">
        <v>314</v>
      </c>
      <c r="M99" s="118">
        <f>K99/L99</f>
        <v/>
      </c>
      <c r="N99" s="5" t="n">
        <v>1000</v>
      </c>
      <c r="O99" s="81" t="n">
        <v>1066</v>
      </c>
      <c r="P99" s="81" t="n">
        <v>0</v>
      </c>
      <c r="Q99" s="81" t="n">
        <v>0</v>
      </c>
      <c r="R99" s="81" t="inlineStr">
        <is>
          <t>HR</t>
        </is>
      </c>
      <c r="S99" s="5" t="inlineStr">
        <is>
          <t>Local School</t>
        </is>
      </c>
      <c r="T99" s="81" t="n">
        <v>2</v>
      </c>
    </row>
    <row r="100" ht="30" customHeight="1">
      <c r="A100" s="55" t="inlineStr">
        <is>
          <t>CSR 91</t>
        </is>
      </c>
      <c r="B100" s="81" t="inlineStr">
        <is>
          <t>North Africa</t>
        </is>
      </c>
      <c r="C100" s="3" t="inlineStr">
        <is>
          <t>Tunisia</t>
        </is>
      </c>
      <c r="D100" s="3" t="inlineStr">
        <is>
          <t>Mdjez el beb</t>
        </is>
      </c>
      <c r="E100" s="14" t="inlineStr">
        <is>
          <t>Tree Plantation Campaign</t>
        </is>
      </c>
      <c r="F100" s="4" t="inlineStr">
        <is>
          <t>Environment</t>
        </is>
      </c>
      <c r="G100" s="4" t="inlineStr">
        <is>
          <t>Charity/Donation</t>
        </is>
      </c>
      <c r="H100" s="47" t="n">
        <v>2024</v>
      </c>
      <c r="I100" s="5" t="n">
        <v>2024</v>
      </c>
      <c r="J100" s="5" t="n">
        <v>1</v>
      </c>
      <c r="K100" s="81" t="n">
        <v>147</v>
      </c>
      <c r="L100" s="5" t="n">
        <v>314</v>
      </c>
      <c r="M100" s="118">
        <f>K100/L100</f>
        <v/>
      </c>
      <c r="N100" s="5" t="n">
        <v>1000</v>
      </c>
      <c r="O100" s="81" t="n">
        <v>1084</v>
      </c>
      <c r="P100" s="81" t="inlineStr">
        <is>
          <t>NA</t>
        </is>
      </c>
      <c r="Q100" s="81" t="inlineStr">
        <is>
          <t>NA</t>
        </is>
      </c>
      <c r="R100" s="81" t="inlineStr">
        <is>
          <t>EHS</t>
        </is>
      </c>
      <c r="S100" s="5" t="inlineStr">
        <is>
          <t>Local Municipality</t>
        </is>
      </c>
      <c r="T100" s="81" t="n">
        <v>2</v>
      </c>
    </row>
    <row r="101" ht="30" customHeight="1">
      <c r="A101" s="55" t="inlineStr">
        <is>
          <t>CSR 92</t>
        </is>
      </c>
      <c r="B101" s="81" t="inlineStr">
        <is>
          <t>North Africa</t>
        </is>
      </c>
      <c r="C101" s="3" t="inlineStr">
        <is>
          <t>Tunisia</t>
        </is>
      </c>
      <c r="D101" s="3" t="inlineStr">
        <is>
          <t>Mdjez el beb</t>
        </is>
      </c>
      <c r="E101" s="14" t="inlineStr">
        <is>
          <t>Water Access Initiative</t>
        </is>
      </c>
      <c r="F101" s="4" t="inlineStr">
        <is>
          <t>Sports</t>
        </is>
      </c>
      <c r="G101" s="4" t="inlineStr">
        <is>
          <t>Charity/Donation</t>
        </is>
      </c>
      <c r="H101" s="47" t="n">
        <v>2024</v>
      </c>
      <c r="I101" s="5" t="n">
        <v>2024</v>
      </c>
      <c r="J101" s="5" t="n">
        <v>1</v>
      </c>
      <c r="K101" s="81" t="n">
        <v>37</v>
      </c>
      <c r="L101" s="5" t="n">
        <v>314</v>
      </c>
      <c r="M101" s="118">
        <f>K101/L101</f>
        <v/>
      </c>
      <c r="N101" s="5" t="n">
        <v>2000</v>
      </c>
      <c r="O101" s="81" t="n">
        <v>1917</v>
      </c>
      <c r="P101" s="81" t="n">
        <v>100</v>
      </c>
      <c r="Q101" s="81" t="inlineStr">
        <is>
          <t>citizens</t>
        </is>
      </c>
      <c r="R101" s="81" t="inlineStr">
        <is>
          <t>HR</t>
        </is>
      </c>
      <c r="S101" s="5" t="inlineStr">
        <is>
          <t>Moroccan Association for Education</t>
        </is>
      </c>
      <c r="T101" s="81" t="n">
        <v>2</v>
      </c>
    </row>
    <row r="102" ht="30" customHeight="1">
      <c r="A102" s="55" t="inlineStr">
        <is>
          <t>CSR 93</t>
        </is>
      </c>
      <c r="B102" s="81" t="inlineStr">
        <is>
          <t>North Africa</t>
        </is>
      </c>
      <c r="C102" s="3" t="inlineStr">
        <is>
          <t>Tunisia</t>
        </is>
      </c>
      <c r="D102" s="3" t="inlineStr">
        <is>
          <t>Mdjez el beb</t>
        </is>
      </c>
      <c r="E102" s="14" t="inlineStr">
        <is>
          <t>Environmental Awareness Day</t>
        </is>
      </c>
      <c r="F102" s="4" t="inlineStr">
        <is>
          <t>Education</t>
        </is>
      </c>
      <c r="G102" s="4" t="inlineStr">
        <is>
          <t>Others</t>
        </is>
      </c>
      <c r="H102" s="47" t="n">
        <v>2024</v>
      </c>
      <c r="I102" s="5" t="n">
        <v>2024</v>
      </c>
      <c r="J102" s="5" t="n">
        <v>1</v>
      </c>
      <c r="K102" s="81" t="n">
        <v>157</v>
      </c>
      <c r="L102" s="5" t="n">
        <v>314</v>
      </c>
      <c r="M102" s="118">
        <f>K102/L102</f>
        <v/>
      </c>
      <c r="N102" s="5" t="n">
        <v>750</v>
      </c>
      <c r="O102" s="81" t="n">
        <v>685</v>
      </c>
      <c r="P102" s="81" t="inlineStr">
        <is>
          <t>NA</t>
        </is>
      </c>
      <c r="Q102" s="81" t="inlineStr">
        <is>
          <t>NA</t>
        </is>
      </c>
      <c r="R102" s="81" t="inlineStr">
        <is>
          <t>HR</t>
        </is>
      </c>
      <c r="S102" s="5" t="inlineStr">
        <is>
          <t>Moroccan Association for Education</t>
        </is>
      </c>
      <c r="T102" s="81" t="n">
        <v>2</v>
      </c>
    </row>
    <row r="103" ht="30" customHeight="1">
      <c r="A103" s="55" t="inlineStr">
        <is>
          <t>CSR 94</t>
        </is>
      </c>
      <c r="B103" s="81" t="inlineStr">
        <is>
          <t>North Africa</t>
        </is>
      </c>
      <c r="C103" s="3" t="inlineStr">
        <is>
          <t>Tunisia</t>
        </is>
      </c>
      <c r="D103" s="3" t="inlineStr">
        <is>
          <t>Mdjez el beb</t>
        </is>
      </c>
      <c r="E103" s="14" t="inlineStr">
        <is>
          <t>School Renovation Project</t>
        </is>
      </c>
      <c r="F103" s="4" t="inlineStr">
        <is>
          <t>Health</t>
        </is>
      </c>
      <c r="G103" s="4" t="inlineStr">
        <is>
          <t>Sponsorship</t>
        </is>
      </c>
      <c r="H103" s="47" t="n">
        <v>2024</v>
      </c>
      <c r="I103" s="5" t="n">
        <v>2024</v>
      </c>
      <c r="J103" s="5" t="n">
        <v>1</v>
      </c>
      <c r="K103" s="81" t="n">
        <v>120</v>
      </c>
      <c r="L103" s="5" t="n">
        <v>314</v>
      </c>
      <c r="M103" s="118">
        <f>K103/L103</f>
        <v/>
      </c>
      <c r="N103" s="5" t="n">
        <v>500</v>
      </c>
      <c r="O103" s="81" t="n">
        <v>543</v>
      </c>
      <c r="P103" s="81" t="n">
        <v>2500</v>
      </c>
      <c r="Q103" s="81" t="inlineStr">
        <is>
          <t>Trees</t>
        </is>
      </c>
      <c r="R103" s="81" t="inlineStr">
        <is>
          <t>HR</t>
        </is>
      </c>
      <c r="S103" s="5" t="inlineStr">
        <is>
          <t>Local School</t>
        </is>
      </c>
      <c r="T103" s="81" t="n">
        <v>2</v>
      </c>
    </row>
    <row r="104" ht="30" customHeight="1">
      <c r="A104" s="55" t="inlineStr">
        <is>
          <t>CSR 94</t>
        </is>
      </c>
      <c r="B104" s="81" t="inlineStr">
        <is>
          <t>North Africa</t>
        </is>
      </c>
      <c r="C104" s="3" t="inlineStr">
        <is>
          <t>Tunisia</t>
        </is>
      </c>
      <c r="D104" s="3" t="inlineStr">
        <is>
          <t>Mdjez el beb</t>
        </is>
      </c>
      <c r="E104" s="73" t="inlineStr">
        <is>
          <t>Tree Plantation Campaign</t>
        </is>
      </c>
      <c r="F104" s="4" t="inlineStr">
        <is>
          <t>Education</t>
        </is>
      </c>
      <c r="G104" s="4" t="inlineStr">
        <is>
          <t>Charity/Donation</t>
        </is>
      </c>
      <c r="H104" s="47" t="n">
        <v>2024</v>
      </c>
      <c r="I104" s="5" t="n">
        <v>2024</v>
      </c>
      <c r="J104" s="5" t="n">
        <v>1</v>
      </c>
      <c r="K104" s="81" t="n">
        <v>86</v>
      </c>
      <c r="L104" s="5" t="n">
        <v>314</v>
      </c>
      <c r="M104" s="118">
        <f>K104/L104</f>
        <v/>
      </c>
      <c r="N104" s="5" t="n">
        <v>2000</v>
      </c>
      <c r="O104" s="81" t="n">
        <v>1854</v>
      </c>
      <c r="P104" s="81" t="inlineStr">
        <is>
          <t>NA</t>
        </is>
      </c>
      <c r="Q104" s="81" t="inlineStr">
        <is>
          <t>NA</t>
        </is>
      </c>
      <c r="R104" s="81" t="inlineStr">
        <is>
          <t>HR</t>
        </is>
      </c>
      <c r="S104" s="5" t="inlineStr">
        <is>
          <t>Community NGO</t>
        </is>
      </c>
      <c r="T104" s="81" t="n">
        <v>2</v>
      </c>
    </row>
    <row r="105" ht="30" customHeight="1">
      <c r="A105" s="55" t="inlineStr">
        <is>
          <t>CSR 94</t>
        </is>
      </c>
      <c r="B105" s="81" t="inlineStr">
        <is>
          <t>North Africa</t>
        </is>
      </c>
      <c r="C105" s="3" t="inlineStr">
        <is>
          <t>Tunisia</t>
        </is>
      </c>
      <c r="D105" s="3" t="inlineStr">
        <is>
          <t>Mdjez el beb</t>
        </is>
      </c>
      <c r="E105" s="14" t="inlineStr">
        <is>
          <t>Environmental Awareness Day</t>
        </is>
      </c>
      <c r="F105" s="4" t="inlineStr">
        <is>
          <t>Sports</t>
        </is>
      </c>
      <c r="G105" s="4" t="inlineStr">
        <is>
          <t>Charity/Donation</t>
        </is>
      </c>
      <c r="H105" s="47" t="n">
        <v>2024</v>
      </c>
      <c r="I105" s="5" t="n">
        <v>2024</v>
      </c>
      <c r="J105" s="5" t="n">
        <v>1</v>
      </c>
      <c r="K105" s="81" t="n">
        <v>42</v>
      </c>
      <c r="L105" s="5" t="n">
        <v>314</v>
      </c>
      <c r="M105" s="118">
        <f>K105/L105</f>
        <v/>
      </c>
      <c r="N105" s="5" t="n">
        <v>750</v>
      </c>
      <c r="O105" s="81" t="n">
        <v>716</v>
      </c>
      <c r="P105" s="81" t="inlineStr">
        <is>
          <t>NA</t>
        </is>
      </c>
      <c r="Q105" s="81" t="inlineStr">
        <is>
          <t>NA</t>
        </is>
      </c>
      <c r="R105" s="81" t="inlineStr">
        <is>
          <t>HR</t>
        </is>
      </c>
      <c r="S105" s="5" t="inlineStr">
        <is>
          <t>Community NGO</t>
        </is>
      </c>
      <c r="T105" s="81" t="n">
        <v>1</v>
      </c>
    </row>
    <row r="106" ht="30" customHeight="1">
      <c r="A106" s="55" t="inlineStr">
        <is>
          <t>CSR 94</t>
        </is>
      </c>
      <c r="B106" s="81" t="inlineStr">
        <is>
          <t>North Africa</t>
        </is>
      </c>
      <c r="C106" s="3" t="inlineStr">
        <is>
          <t>Tunisia</t>
        </is>
      </c>
      <c r="D106" s="3" t="inlineStr">
        <is>
          <t>Mdjez el beb</t>
        </is>
      </c>
      <c r="E106" s="14" t="inlineStr">
        <is>
          <t>Community Health Screening</t>
        </is>
      </c>
      <c r="F106" s="4" t="inlineStr">
        <is>
          <t>Sports</t>
        </is>
      </c>
      <c r="G106" s="4" t="inlineStr">
        <is>
          <t>Others</t>
        </is>
      </c>
      <c r="H106" s="47" t="n">
        <v>2024</v>
      </c>
      <c r="I106" s="5" t="n">
        <v>2024</v>
      </c>
      <c r="J106" s="5" t="n">
        <v>1</v>
      </c>
      <c r="K106" s="81" t="n">
        <v>150</v>
      </c>
      <c r="L106" s="5" t="n">
        <v>314</v>
      </c>
      <c r="M106" s="118">
        <f>K106/L106</f>
        <v/>
      </c>
      <c r="N106" s="5" t="n">
        <v>3000</v>
      </c>
      <c r="O106" s="81" t="n">
        <v>2550</v>
      </c>
      <c r="P106" s="81" t="inlineStr">
        <is>
          <t>NA</t>
        </is>
      </c>
      <c r="Q106" s="81" t="inlineStr">
        <is>
          <t>NA</t>
        </is>
      </c>
      <c r="R106" s="81" t="inlineStr">
        <is>
          <t>HR</t>
        </is>
      </c>
      <c r="S106" s="5" t="inlineStr">
        <is>
          <t>Local School</t>
        </is>
      </c>
      <c r="T106" s="81" t="n">
        <v>1</v>
      </c>
    </row>
    <row r="107" ht="30" customHeight="1">
      <c r="A107" s="55" t="inlineStr">
        <is>
          <t>CSR 94</t>
        </is>
      </c>
      <c r="B107" s="81" t="inlineStr">
        <is>
          <t>North Africa</t>
        </is>
      </c>
      <c r="C107" s="3" t="inlineStr">
        <is>
          <t>Tunisia</t>
        </is>
      </c>
      <c r="D107" s="3" t="inlineStr">
        <is>
          <t>Mdjez el beb</t>
        </is>
      </c>
      <c r="E107" s="14" t="inlineStr">
        <is>
          <t>Environmental Awareness Day</t>
        </is>
      </c>
      <c r="F107" s="4" t="inlineStr">
        <is>
          <t>Social</t>
        </is>
      </c>
      <c r="G107" s="4" t="inlineStr">
        <is>
          <t>Others</t>
        </is>
      </c>
      <c r="H107" s="47" t="n">
        <v>2024</v>
      </c>
      <c r="I107" s="5" t="n">
        <v>2024</v>
      </c>
      <c r="J107" s="5" t="n">
        <v>1</v>
      </c>
      <c r="K107" s="81" t="n">
        <v>123</v>
      </c>
      <c r="L107" s="5" t="n">
        <v>314</v>
      </c>
      <c r="M107" s="118">
        <f>K107/L107</f>
        <v/>
      </c>
      <c r="N107" s="5" t="n">
        <v>1500</v>
      </c>
      <c r="O107" s="81" t="n">
        <v>1528</v>
      </c>
      <c r="P107" s="81" t="inlineStr">
        <is>
          <t>NA</t>
        </is>
      </c>
      <c r="Q107" s="81" t="inlineStr">
        <is>
          <t>NA</t>
        </is>
      </c>
      <c r="R107" s="81" t="inlineStr">
        <is>
          <t>HR</t>
        </is>
      </c>
      <c r="S107" s="5" t="inlineStr">
        <is>
          <t>Youth Association Tunisia</t>
        </is>
      </c>
      <c r="T107" s="81" t="n">
        <v>2</v>
      </c>
    </row>
    <row r="108" ht="30" customHeight="1">
      <c r="A108" s="55" t="inlineStr">
        <is>
          <t>CSR 95</t>
        </is>
      </c>
      <c r="B108" s="81" t="inlineStr">
        <is>
          <t>North Africa</t>
        </is>
      </c>
      <c r="C108" s="3" t="inlineStr">
        <is>
          <t>Morocco</t>
        </is>
      </c>
      <c r="D108" s="3" t="inlineStr">
        <is>
          <t>Tangier</t>
        </is>
      </c>
      <c r="E108" s="14" t="inlineStr">
        <is>
          <t>Cap for Handicap Collection</t>
        </is>
      </c>
      <c r="F108" s="4" t="inlineStr">
        <is>
          <t>Environment</t>
        </is>
      </c>
      <c r="G108" s="4" t="inlineStr">
        <is>
          <t>Charity/Donation</t>
        </is>
      </c>
      <c r="H108" s="47" t="n">
        <v>2024</v>
      </c>
      <c r="I108" s="5" t="n">
        <v>2024</v>
      </c>
      <c r="J108" s="5" t="n">
        <v>1</v>
      </c>
      <c r="K108" s="81" t="n">
        <v>31</v>
      </c>
      <c r="L108" s="81" t="n">
        <v>516</v>
      </c>
      <c r="M108" s="118">
        <f>K108/L108</f>
        <v/>
      </c>
      <c r="N108" s="5" t="n">
        <v>1000</v>
      </c>
      <c r="O108" s="81" t="n">
        <v>978</v>
      </c>
      <c r="P108" s="81" t="n">
        <v>10</v>
      </c>
      <c r="Q108" s="5" t="inlineStr">
        <is>
          <t>Students participated</t>
        </is>
      </c>
      <c r="R108" s="81" t="inlineStr">
        <is>
          <t>CSR Committe</t>
        </is>
      </c>
      <c r="S108" s="81" t="inlineStr">
        <is>
          <t>Moroccan Association for Education</t>
        </is>
      </c>
      <c r="T108" s="81" t="n">
        <v>2</v>
      </c>
    </row>
    <row r="109" ht="30" customHeight="1">
      <c r="A109" s="55" t="inlineStr">
        <is>
          <t>CSR 96</t>
        </is>
      </c>
      <c r="B109" s="81" t="inlineStr">
        <is>
          <t>North Africa</t>
        </is>
      </c>
      <c r="C109" s="3" t="inlineStr">
        <is>
          <t>Morocco</t>
        </is>
      </c>
      <c r="D109" s="3" t="inlineStr">
        <is>
          <t>Tangier</t>
        </is>
      </c>
      <c r="E109" s="14" t="inlineStr">
        <is>
          <t>Ramadan Food Distribution</t>
        </is>
      </c>
      <c r="F109" s="4" t="inlineStr">
        <is>
          <t>Health</t>
        </is>
      </c>
      <c r="G109" s="4" t="inlineStr">
        <is>
          <t>Charity/Donation</t>
        </is>
      </c>
      <c r="H109" s="47" t="n">
        <v>2024</v>
      </c>
      <c r="I109" s="5" t="n">
        <v>2024</v>
      </c>
      <c r="J109" s="5" t="n">
        <v>1</v>
      </c>
      <c r="K109" s="81" t="n">
        <v>89</v>
      </c>
      <c r="L109" s="81" t="n">
        <v>516</v>
      </c>
      <c r="M109" s="118">
        <f>K109/L109</f>
        <v/>
      </c>
      <c r="N109" s="5" t="n">
        <v>750</v>
      </c>
      <c r="O109" s="81" t="n">
        <v>788</v>
      </c>
      <c r="P109" s="81" t="n">
        <v>62</v>
      </c>
      <c r="Q109" s="81" t="inlineStr">
        <is>
          <t>blood bags</t>
        </is>
      </c>
      <c r="R109" s="81" t="inlineStr">
        <is>
          <t>CSR Committe</t>
        </is>
      </c>
      <c r="S109" s="5" t="inlineStr">
        <is>
          <t>Red Crescent</t>
        </is>
      </c>
      <c r="T109" s="81" t="n">
        <v>1</v>
      </c>
    </row>
    <row r="110" ht="30" customHeight="1">
      <c r="A110" s="55" t="inlineStr">
        <is>
          <t>CSR 97</t>
        </is>
      </c>
      <c r="B110" s="81" t="inlineStr">
        <is>
          <t>North Africa</t>
        </is>
      </c>
      <c r="C110" s="3" t="inlineStr">
        <is>
          <t>Morocco</t>
        </is>
      </c>
      <c r="D110" s="3" t="inlineStr">
        <is>
          <t>Tangier</t>
        </is>
      </c>
      <c r="E110" s="4" t="inlineStr">
        <is>
          <t>School Renovation Project</t>
        </is>
      </c>
      <c r="F110" s="4" t="inlineStr">
        <is>
          <t>Health</t>
        </is>
      </c>
      <c r="G110" s="4" t="inlineStr">
        <is>
          <t>Others</t>
        </is>
      </c>
      <c r="H110" s="47" t="n">
        <v>2024</v>
      </c>
      <c r="I110" s="5" t="n">
        <v>2024</v>
      </c>
      <c r="J110" s="5" t="n">
        <v>1</v>
      </c>
      <c r="K110" s="81" t="n">
        <v>166</v>
      </c>
      <c r="L110" s="81" t="n">
        <v>516</v>
      </c>
      <c r="M110" s="118">
        <f>K110/L110</f>
        <v/>
      </c>
      <c r="N110" s="5" t="n">
        <v>3000</v>
      </c>
      <c r="O110" s="81" t="n">
        <v>3126</v>
      </c>
      <c r="P110" s="81" t="inlineStr">
        <is>
          <t>700 Kg</t>
        </is>
      </c>
      <c r="Q110" s="81" t="inlineStr">
        <is>
          <t>Waste collected</t>
        </is>
      </c>
      <c r="R110" s="81" t="inlineStr">
        <is>
          <t>CSR Committe</t>
        </is>
      </c>
      <c r="S110" s="81" t="inlineStr">
        <is>
          <t>Community NGO</t>
        </is>
      </c>
      <c r="T110" s="81" t="n">
        <v>2</v>
      </c>
    </row>
    <row r="111" ht="30" customHeight="1">
      <c r="A111" s="55" t="inlineStr">
        <is>
          <t>CSR 98</t>
        </is>
      </c>
      <c r="B111" s="81" t="inlineStr">
        <is>
          <t>North Africa</t>
        </is>
      </c>
      <c r="C111" s="3" t="inlineStr">
        <is>
          <t>Morocco</t>
        </is>
      </c>
      <c r="D111" s="3" t="inlineStr">
        <is>
          <t>Tangier</t>
        </is>
      </c>
      <c r="E111" s="14" t="inlineStr">
        <is>
          <t>Tree Plantation Campaign</t>
        </is>
      </c>
      <c r="F111" s="4" t="inlineStr">
        <is>
          <t>Health</t>
        </is>
      </c>
      <c r="G111" s="4" t="inlineStr">
        <is>
          <t>Charity/Donation</t>
        </is>
      </c>
      <c r="H111" s="47" t="n">
        <v>2024</v>
      </c>
      <c r="I111" s="5" t="n">
        <v>2024</v>
      </c>
      <c r="J111" s="5" t="n">
        <v>1</v>
      </c>
      <c r="K111" s="81" t="n">
        <v>188</v>
      </c>
      <c r="L111" s="81" t="n">
        <v>516</v>
      </c>
      <c r="M111" s="118">
        <f>K111/L111</f>
        <v/>
      </c>
      <c r="N111" s="5" t="n">
        <v>1500</v>
      </c>
      <c r="O111" s="81" t="n">
        <v>1460</v>
      </c>
      <c r="P111" s="81" t="n">
        <v>72</v>
      </c>
      <c r="Q111" s="5" t="inlineStr">
        <is>
          <t>Women benefited</t>
        </is>
      </c>
      <c r="R111" s="81" t="inlineStr">
        <is>
          <t>CSR Committe</t>
        </is>
      </c>
      <c r="S111" s="81" t="inlineStr">
        <is>
          <t>Red Crescent</t>
        </is>
      </c>
      <c r="T111" s="81" t="n">
        <v>1</v>
      </c>
    </row>
    <row r="112" ht="15" customHeight="1">
      <c r="A112" s="55" t="inlineStr">
        <is>
          <t>CSR 99</t>
        </is>
      </c>
      <c r="B112" s="81" t="inlineStr">
        <is>
          <t>North Africa</t>
        </is>
      </c>
      <c r="C112" s="3" t="inlineStr">
        <is>
          <t>Morocco</t>
        </is>
      </c>
      <c r="D112" s="3" t="inlineStr">
        <is>
          <t>Tangier</t>
        </is>
      </c>
      <c r="E112" s="114" t="inlineStr">
        <is>
          <t>Tree Plantation Campaign</t>
        </is>
      </c>
      <c r="F112" s="4" t="inlineStr">
        <is>
          <t>Social</t>
        </is>
      </c>
      <c r="G112" s="4" t="inlineStr">
        <is>
          <t>Charity/Donation</t>
        </is>
      </c>
      <c r="H112" s="47" t="n">
        <v>2024</v>
      </c>
      <c r="I112" s="5" t="n">
        <v>2024</v>
      </c>
      <c r="J112" s="5" t="n">
        <v>1</v>
      </c>
      <c r="K112" s="81" t="n">
        <v>118</v>
      </c>
      <c r="L112" s="81" t="n">
        <v>516</v>
      </c>
      <c r="M112" s="118">
        <f>K112/L112</f>
        <v/>
      </c>
      <c r="N112" s="5" t="n">
        <v>750</v>
      </c>
      <c r="O112" s="81" t="n">
        <v>670</v>
      </c>
      <c r="P112" s="81" t="n">
        <v>3</v>
      </c>
      <c r="Q112" s="81" t="inlineStr">
        <is>
          <t>Small businesses</t>
        </is>
      </c>
      <c r="R112" s="81" t="inlineStr">
        <is>
          <t>CSR Committe</t>
        </is>
      </c>
      <c r="S112" s="81" t="inlineStr">
        <is>
          <t>Moroccan Association for Education</t>
        </is>
      </c>
      <c r="T112" s="81" t="n">
        <v>2</v>
      </c>
    </row>
    <row r="113" ht="26.25" customHeight="1">
      <c r="A113" s="55" t="inlineStr">
        <is>
          <t>CSR 100</t>
        </is>
      </c>
      <c r="B113" s="81" t="inlineStr">
        <is>
          <t>North Africa</t>
        </is>
      </c>
      <c r="C113" s="3" t="inlineStr">
        <is>
          <t>Morocco</t>
        </is>
      </c>
      <c r="D113" s="3" t="inlineStr">
        <is>
          <t>Tangier</t>
        </is>
      </c>
      <c r="E113" s="4" t="inlineStr">
        <is>
          <t>School Renovation Project</t>
        </is>
      </c>
      <c r="F113" s="4" t="inlineStr">
        <is>
          <t>Health</t>
        </is>
      </c>
      <c r="G113" s="4" t="inlineStr">
        <is>
          <t>Charity/Donation</t>
        </is>
      </c>
      <c r="H113" s="47" t="n">
        <v>2024</v>
      </c>
      <c r="I113" s="5" t="n">
        <v>2024</v>
      </c>
      <c r="J113" s="5" t="n">
        <v>1</v>
      </c>
      <c r="K113" s="81" t="n">
        <v>126</v>
      </c>
      <c r="L113" s="81" t="n">
        <v>516</v>
      </c>
      <c r="M113" s="118">
        <f>K113/L113</f>
        <v/>
      </c>
      <c r="N113" s="5" t="n">
        <v>750</v>
      </c>
      <c r="O113" s="81" t="n">
        <v>787</v>
      </c>
      <c r="P113" s="81" t="n">
        <v>17</v>
      </c>
      <c r="Q113" s="81" t="inlineStr">
        <is>
          <t>children</t>
        </is>
      </c>
      <c r="R113" s="81" t="inlineStr">
        <is>
          <t>CSR Committe</t>
        </is>
      </c>
      <c r="S113" s="5" t="inlineStr">
        <is>
          <t>Moroccan Association for Education</t>
        </is>
      </c>
      <c r="T113" s="81" t="n">
        <v>2</v>
      </c>
    </row>
    <row r="114" ht="30" customHeight="1">
      <c r="A114" s="55" t="inlineStr">
        <is>
          <t>CSR 101</t>
        </is>
      </c>
      <c r="B114" s="81" t="inlineStr">
        <is>
          <t>North Africa</t>
        </is>
      </c>
      <c r="C114" s="3" t="inlineStr">
        <is>
          <t>Morocco</t>
        </is>
      </c>
      <c r="D114" s="3" t="inlineStr">
        <is>
          <t>Kenitra</t>
        </is>
      </c>
      <c r="E114" s="33" t="inlineStr">
        <is>
          <t>Cap for Handicap Collection</t>
        </is>
      </c>
      <c r="F114" s="4" t="inlineStr">
        <is>
          <t>Social</t>
        </is>
      </c>
      <c r="G114" s="4" t="inlineStr">
        <is>
          <t>Charity/Donation</t>
        </is>
      </c>
      <c r="H114" s="47" t="n">
        <v>2024</v>
      </c>
      <c r="I114" s="5" t="n">
        <v>2024</v>
      </c>
      <c r="J114" s="5" t="n">
        <v>1</v>
      </c>
      <c r="K114" s="81" t="n">
        <v>194</v>
      </c>
      <c r="L114" s="81" t="n">
        <v>506</v>
      </c>
      <c r="M114" s="118">
        <f>K114/L114</f>
        <v/>
      </c>
      <c r="N114" s="5" t="n">
        <v>2000</v>
      </c>
      <c r="O114" s="81" t="n">
        <v>1913</v>
      </c>
      <c r="P114" s="81" t="n">
        <v>10</v>
      </c>
      <c r="Q114" s="5" t="inlineStr">
        <is>
          <t>Students participated</t>
        </is>
      </c>
      <c r="R114" s="81" t="inlineStr">
        <is>
          <t>CSR Committe</t>
        </is>
      </c>
      <c r="S114" s="5" t="inlineStr">
        <is>
          <t>Youth Association Tunisia</t>
        </is>
      </c>
      <c r="T114" s="81" t="n">
        <v>2</v>
      </c>
    </row>
    <row r="115" ht="30" customHeight="1">
      <c r="A115" s="55" t="inlineStr">
        <is>
          <t>CSR 102</t>
        </is>
      </c>
      <c r="B115" s="81" t="inlineStr">
        <is>
          <t>North Africa</t>
        </is>
      </c>
      <c r="C115" s="3" t="inlineStr">
        <is>
          <t>Morocco</t>
        </is>
      </c>
      <c r="D115" s="3" t="inlineStr">
        <is>
          <t>Kenitra</t>
        </is>
      </c>
      <c r="E115" s="14" t="inlineStr">
        <is>
          <t>Water Access Initiative</t>
        </is>
      </c>
      <c r="F115" s="4" t="inlineStr">
        <is>
          <t>Social</t>
        </is>
      </c>
      <c r="G115" s="4" t="inlineStr">
        <is>
          <t>Others</t>
        </is>
      </c>
      <c r="H115" s="47" t="n">
        <v>2024</v>
      </c>
      <c r="I115" s="5" t="n">
        <v>2024</v>
      </c>
      <c r="J115" s="5" t="n">
        <v>1</v>
      </c>
      <c r="K115" s="81" t="n">
        <v>76</v>
      </c>
      <c r="L115" s="81" t="n">
        <v>506</v>
      </c>
      <c r="M115" s="118">
        <f>K115/L115</f>
        <v/>
      </c>
      <c r="N115" s="5" t="n">
        <v>3000</v>
      </c>
      <c r="O115" s="81" t="n">
        <v>2735</v>
      </c>
      <c r="P115" s="81" t="n">
        <v>65</v>
      </c>
      <c r="Q115" s="81" t="inlineStr">
        <is>
          <t>Women</t>
        </is>
      </c>
      <c r="R115" s="81" t="inlineStr">
        <is>
          <t>HR/COM</t>
        </is>
      </c>
      <c r="S115" s="5" t="inlineStr">
        <is>
          <t>Moroccan Association for Education</t>
        </is>
      </c>
      <c r="T115" s="81" t="n">
        <v>2</v>
      </c>
    </row>
    <row r="116" ht="30" customHeight="1">
      <c r="A116" s="55" t="inlineStr">
        <is>
          <t>CSR 103</t>
        </is>
      </c>
      <c r="B116" s="81" t="inlineStr">
        <is>
          <t>North Africa</t>
        </is>
      </c>
      <c r="C116" s="3" t="inlineStr">
        <is>
          <t>Morocco</t>
        </is>
      </c>
      <c r="D116" s="3" t="inlineStr">
        <is>
          <t>Kenitra</t>
        </is>
      </c>
      <c r="E116" s="12" t="inlineStr">
        <is>
          <t>Cap for Handicap Collection</t>
        </is>
      </c>
      <c r="F116" s="4" t="inlineStr">
        <is>
          <t>Social</t>
        </is>
      </c>
      <c r="G116" s="4" t="inlineStr">
        <is>
          <t>Charity/Donation</t>
        </is>
      </c>
      <c r="H116" s="47" t="n">
        <v>2024</v>
      </c>
      <c r="I116" s="5" t="n">
        <v>2024</v>
      </c>
      <c r="J116" s="5" t="n">
        <v>1</v>
      </c>
      <c r="K116" s="81" t="n">
        <v>71</v>
      </c>
      <c r="L116" s="81" t="n">
        <v>506</v>
      </c>
      <c r="M116" s="118">
        <f>K116/L116</f>
        <v/>
      </c>
      <c r="N116" s="5" t="n">
        <v>1000</v>
      </c>
      <c r="O116" s="81" t="n">
        <v>959</v>
      </c>
      <c r="P116" s="81" t="n">
        <v>3</v>
      </c>
      <c r="Q116" s="5" t="inlineStr">
        <is>
          <t>Women Cooperatives</t>
        </is>
      </c>
      <c r="R116" s="81" t="inlineStr">
        <is>
          <t>HR/COM</t>
        </is>
      </c>
      <c r="S116" s="5" t="inlineStr">
        <is>
          <t>Moroccan Association for Education</t>
        </is>
      </c>
      <c r="T116" s="81" t="n">
        <v>2</v>
      </c>
    </row>
    <row r="117" ht="30" customHeight="1">
      <c r="A117" s="55" t="inlineStr">
        <is>
          <t>CSR 104</t>
        </is>
      </c>
      <c r="B117" s="81" t="inlineStr">
        <is>
          <t>North Africa</t>
        </is>
      </c>
      <c r="C117" s="3" t="inlineStr">
        <is>
          <t>Morocco</t>
        </is>
      </c>
      <c r="D117" s="3" t="inlineStr">
        <is>
          <t>Kenitra</t>
        </is>
      </c>
      <c r="E117" s="3" t="inlineStr">
        <is>
          <t>Women Cooperative Support</t>
        </is>
      </c>
      <c r="F117" s="4" t="inlineStr">
        <is>
          <t>Sports</t>
        </is>
      </c>
      <c r="G117" s="4" t="inlineStr">
        <is>
          <t>Sponsorship</t>
        </is>
      </c>
      <c r="H117" s="47" t="n">
        <v>2024</v>
      </c>
      <c r="I117" s="5" t="n">
        <v>2024</v>
      </c>
      <c r="J117" s="5" t="n">
        <v>1</v>
      </c>
      <c r="K117" s="81" t="n">
        <v>91</v>
      </c>
      <c r="L117" s="81" t="n">
        <v>506</v>
      </c>
      <c r="M117" s="118">
        <f>K117/L117</f>
        <v/>
      </c>
      <c r="N117" s="5" t="n">
        <v>2000</v>
      </c>
      <c r="O117" s="81" t="n">
        <v>1740</v>
      </c>
      <c r="P117" s="81" t="n">
        <v>2</v>
      </c>
      <c r="Q117" s="81" t="inlineStr">
        <is>
          <t>Families in need</t>
        </is>
      </c>
      <c r="R117" s="81" t="inlineStr">
        <is>
          <t>HR/COM</t>
        </is>
      </c>
      <c r="S117" s="5" t="inlineStr">
        <is>
          <t>Red Crescent</t>
        </is>
      </c>
      <c r="T117" s="81" t="n">
        <v>1</v>
      </c>
    </row>
    <row r="118" ht="15" customHeight="1">
      <c r="A118" s="55" t="inlineStr">
        <is>
          <t>CSR 105</t>
        </is>
      </c>
      <c r="B118" s="81" t="inlineStr">
        <is>
          <t>North Africa</t>
        </is>
      </c>
      <c r="C118" s="3" t="inlineStr">
        <is>
          <t>Morocco</t>
        </is>
      </c>
      <c r="D118" s="3" t="inlineStr">
        <is>
          <t>Kenitra</t>
        </is>
      </c>
      <c r="E118" s="114" t="inlineStr">
        <is>
          <t>Environmental Awareness Day</t>
        </is>
      </c>
      <c r="F118" s="4" t="inlineStr">
        <is>
          <t>Environment</t>
        </is>
      </c>
      <c r="G118" s="4" t="inlineStr">
        <is>
          <t>Charity/Donation</t>
        </is>
      </c>
      <c r="H118" s="47" t="n">
        <v>2024</v>
      </c>
      <c r="I118" s="5" t="n">
        <v>2024</v>
      </c>
      <c r="J118" s="5" t="n">
        <v>1</v>
      </c>
      <c r="K118" s="81" t="n">
        <v>64</v>
      </c>
      <c r="L118" s="81" t="n">
        <v>506</v>
      </c>
      <c r="M118" s="118">
        <f>K118/L118</f>
        <v/>
      </c>
      <c r="N118" s="5" t="n">
        <v>500</v>
      </c>
      <c r="O118" s="81" t="n">
        <v>476</v>
      </c>
      <c r="P118" s="81" t="n">
        <v>220</v>
      </c>
      <c r="Q118" s="81" t="inlineStr">
        <is>
          <t>Students</t>
        </is>
      </c>
      <c r="R118" s="81" t="inlineStr">
        <is>
          <t>HR/COM</t>
        </is>
      </c>
      <c r="S118" s="81" t="inlineStr">
        <is>
          <t>Local School</t>
        </is>
      </c>
      <c r="T118" s="81" t="n">
        <v>2</v>
      </c>
    </row>
    <row r="119" ht="15" customHeight="1">
      <c r="A119" s="55" t="inlineStr">
        <is>
          <t>CSR 106</t>
        </is>
      </c>
      <c r="B119" s="81" t="inlineStr">
        <is>
          <t>North Africa</t>
        </is>
      </c>
      <c r="C119" s="3" t="inlineStr">
        <is>
          <t>Morocco</t>
        </is>
      </c>
      <c r="D119" s="3" t="inlineStr">
        <is>
          <t>Kenitra</t>
        </is>
      </c>
      <c r="E119" s="114" t="inlineStr">
        <is>
          <t>Environmental Awareness Day</t>
        </is>
      </c>
      <c r="F119" s="4" t="inlineStr">
        <is>
          <t>Social</t>
        </is>
      </c>
      <c r="G119" s="4" t="inlineStr">
        <is>
          <t>Partnership</t>
        </is>
      </c>
      <c r="H119" s="47" t="n">
        <v>2024</v>
      </c>
      <c r="I119" s="5" t="n">
        <v>2024</v>
      </c>
      <c r="J119" s="5" t="n">
        <v>1</v>
      </c>
      <c r="K119" s="81" t="n">
        <v>117</v>
      </c>
      <c r="L119" s="81" t="n">
        <v>506</v>
      </c>
      <c r="M119" s="118">
        <f>K119/L119</f>
        <v/>
      </c>
      <c r="N119" s="5" t="n">
        <v>1500</v>
      </c>
      <c r="O119" s="81" t="n">
        <v>1614</v>
      </c>
      <c r="P119" s="81" t="inlineStr">
        <is>
          <t>NA</t>
        </is>
      </c>
      <c r="Q119" s="81" t="inlineStr">
        <is>
          <t>NA</t>
        </is>
      </c>
      <c r="R119" s="81" t="inlineStr">
        <is>
          <t>HR/COM</t>
        </is>
      </c>
      <c r="S119" s="81" t="inlineStr">
        <is>
          <t>Youth Association Tunisia</t>
        </is>
      </c>
      <c r="T119" s="81" t="n">
        <v>1</v>
      </c>
    </row>
    <row r="120" ht="15" customHeight="1">
      <c r="A120" s="55" t="inlineStr">
        <is>
          <t>CSR 107</t>
        </is>
      </c>
      <c r="B120" s="81" t="inlineStr">
        <is>
          <t>North Africa</t>
        </is>
      </c>
      <c r="C120" s="3" t="inlineStr">
        <is>
          <t>Morocco</t>
        </is>
      </c>
      <c r="D120" s="3" t="inlineStr">
        <is>
          <t>Kenitra</t>
        </is>
      </c>
      <c r="E120" s="114" t="inlineStr">
        <is>
          <t>Battery Recycling Drive</t>
        </is>
      </c>
      <c r="F120" s="4" t="inlineStr">
        <is>
          <t>Environment</t>
        </is>
      </c>
      <c r="G120" s="4" t="inlineStr">
        <is>
          <t>Others</t>
        </is>
      </c>
      <c r="H120" s="47" t="n">
        <v>2024</v>
      </c>
      <c r="I120" s="5" t="n">
        <v>2024</v>
      </c>
      <c r="J120" s="5" t="n">
        <v>1</v>
      </c>
      <c r="K120" s="81" t="n">
        <v>11</v>
      </c>
      <c r="L120" s="81" t="n">
        <v>506</v>
      </c>
      <c r="M120" s="118">
        <f>K120/L120</f>
        <v/>
      </c>
      <c r="N120" s="5" t="n">
        <v>1000</v>
      </c>
      <c r="O120" s="81" t="n">
        <v>924</v>
      </c>
      <c r="P120" s="81" t="inlineStr">
        <is>
          <t>NA</t>
        </is>
      </c>
      <c r="Q120" s="81" t="inlineStr">
        <is>
          <t>NA</t>
        </is>
      </c>
      <c r="R120" s="81" t="inlineStr">
        <is>
          <t>HR/COM</t>
        </is>
      </c>
      <c r="S120" s="81" t="inlineStr">
        <is>
          <t>Community NGO</t>
        </is>
      </c>
      <c r="T120" s="81" t="n">
        <v>2</v>
      </c>
    </row>
    <row r="121" ht="15" customHeight="1">
      <c r="A121" s="55" t="inlineStr">
        <is>
          <t>CSR 108</t>
        </is>
      </c>
      <c r="B121" s="84" t="inlineStr">
        <is>
          <t>North Africa</t>
        </is>
      </c>
      <c r="C121" s="79" t="inlineStr">
        <is>
          <t>Morocco</t>
        </is>
      </c>
      <c r="D121" s="3" t="inlineStr">
        <is>
          <t>Kenitra</t>
        </is>
      </c>
      <c r="E121" s="62" t="inlineStr">
        <is>
          <t>Literacy Program Support</t>
        </is>
      </c>
      <c r="F121" s="37" t="inlineStr">
        <is>
          <t>Health</t>
        </is>
      </c>
      <c r="G121" s="37" t="inlineStr">
        <is>
          <t>Others</t>
        </is>
      </c>
      <c r="H121" s="47" t="n">
        <v>2024</v>
      </c>
      <c r="I121" s="5" t="n">
        <v>2024</v>
      </c>
      <c r="J121" s="88" t="n">
        <v>1</v>
      </c>
      <c r="K121" s="84" t="n">
        <v>66</v>
      </c>
      <c r="L121" s="81" t="n">
        <v>506</v>
      </c>
      <c r="M121" s="121">
        <f>K121/L121</f>
        <v/>
      </c>
      <c r="N121" s="5" t="n">
        <v>1000</v>
      </c>
      <c r="O121" s="84" t="n">
        <v>958</v>
      </c>
      <c r="P121" s="84" t="n">
        <v>3</v>
      </c>
      <c r="Q121" s="81" t="inlineStr">
        <is>
          <t>blood bags</t>
        </is>
      </c>
      <c r="R121" s="84" t="inlineStr">
        <is>
          <t>HR/COM</t>
        </is>
      </c>
      <c r="S121" s="84" t="inlineStr">
        <is>
          <t>Local Municipality</t>
        </is>
      </c>
      <c r="T121" s="81" t="n">
        <v>2</v>
      </c>
    </row>
    <row r="122">
      <c r="A122" s="69" t="inlineStr">
        <is>
          <t>Total</t>
        </is>
      </c>
      <c r="B122" s="62" t="n"/>
      <c r="C122" s="62" t="n"/>
      <c r="D122" s="62" t="n"/>
      <c r="E122" s="62" t="n"/>
      <c r="F122" s="62" t="inlineStr">
        <is>
          <t>P</t>
        </is>
      </c>
      <c r="G122" s="63" t="n"/>
      <c r="I122" s="64" t="n"/>
      <c r="J122" s="65" t="n"/>
      <c r="K122" s="70">
        <f>SUBTOTAL(9,K3:K121)</f>
        <v/>
      </c>
      <c r="L122" s="66" t="n"/>
      <c r="M122" s="122">
        <f>SUBTOTAL(101,M3:M121)</f>
        <v/>
      </c>
      <c r="N122" s="123">
        <f>SUBTOTAL(9,N3:N121)</f>
        <v/>
      </c>
      <c r="O122" s="123">
        <f>SUBTOTAL(9,O3:O121)</f>
        <v/>
      </c>
      <c r="P122" s="5" t="n"/>
      <c r="Q122" s="67" t="n"/>
      <c r="R122" s="68" t="n"/>
      <c r="S122" s="124">
        <f>SUBTOTAL(9,T3:T121)</f>
        <v/>
      </c>
      <c r="T122" s="28" t="n"/>
    </row>
    <row r="123">
      <c r="E123" s="98">
        <f>SUBTOTAL(3,A3:A121)&amp;" CSR Actions Globally"</f>
        <v/>
      </c>
      <c r="F123" s="59" t="inlineStr">
        <is>
          <t>Environment</t>
        </is>
      </c>
      <c r="G123" s="38">
        <f t="array" ref="G123">SUMPRODUCT(SUBTOTAL(3,OFFSET(F3:F121,ROW(F3:F121)-MIN(ROW(F3:F121)),,1,)),N(F3:F121=F123))&amp;" Actions"</f>
        <v/>
      </c>
      <c r="I123" s="125">
        <f t="array" ref="I123">(SUMPRODUCT(SUBTOTAL(3,OFFSET(F3:F121,ROW(F3:F121)-MIN(ROW(F3:F121)),,1,)),N(F3:F121=F123)))/SUBTOTAL(3,A3:A121)</f>
        <v/>
      </c>
      <c r="M123" s="42" t="n"/>
      <c r="N123" s="42" t="n"/>
    </row>
    <row r="124">
      <c r="E124" s="126" t="n"/>
      <c r="F124" s="43" t="inlineStr">
        <is>
          <t>Education</t>
        </is>
      </c>
      <c r="G124" s="4">
        <f t="array" ref="G124">SUMPRODUCT(SUBTOTAL(3,OFFSET(F3:F121,ROW(F3:F121)-MIN(ROW(F3:F121)),,1,)),N(F3:F121=F124))&amp;" Actions"</f>
        <v/>
      </c>
      <c r="I124" s="127">
        <f t="array" ref="I124">(SUMPRODUCT(SUBTOTAL(3,OFFSET(F3:F121,ROW(F3:F121)-MIN(ROW(F3:F121)),,1,)),N(F3:F121=F124)))/SUBTOTAL(3,A3:A121)</f>
        <v/>
      </c>
    </row>
    <row r="125">
      <c r="E125" s="126" t="n"/>
      <c r="F125" s="43" t="inlineStr">
        <is>
          <t>Health</t>
        </is>
      </c>
      <c r="G125" s="4">
        <f t="array" ref="G125">SUMPRODUCT(SUBTOTAL(3,OFFSET(F3:F121,ROW(F3:F121)-MIN(ROW(F3:F121)),,1,)),N(F3:F121=F125))&amp;" Actions"</f>
        <v/>
      </c>
      <c r="I125" s="127">
        <f t="array" ref="I125">(SUMPRODUCT(SUBTOTAL(3,OFFSET(F3:F121,ROW(F3:F121)-MIN(ROW(F3:F121)),,1,)),N(F3:F121=F125)))/SUBTOTAL(3,A3:A121)</f>
        <v/>
      </c>
    </row>
    <row r="126">
      <c r="E126" s="126" t="n"/>
      <c r="F126" s="43" t="inlineStr">
        <is>
          <t>Sports</t>
        </is>
      </c>
      <c r="G126" s="4">
        <f t="array" ref="G126">SUMPRODUCT(SUBTOTAL(3,OFFSET(F3:F121,ROW(F3:F121)-MIN(ROW(F3:F121)),,1,)),N(F3:F121=F126))&amp;" Actions"</f>
        <v/>
      </c>
      <c r="I126" s="127">
        <f t="array" ref="I126">(SUMPRODUCT(SUBTOTAL(3,OFFSET(F3:F121,ROW(F3:F121)-MIN(ROW(F3:F121)),,1,)),N(F3:F121=F126)))/SUBTOTAL(3,A3:A121)</f>
        <v/>
      </c>
    </row>
    <row r="127" ht="12" customHeight="1">
      <c r="E127" s="126" t="n"/>
      <c r="F127" s="43" t="inlineStr">
        <is>
          <t>Social</t>
        </is>
      </c>
      <c r="G127" s="4">
        <f t="array" ref="G127">SUMPRODUCT(SUBTOTAL(3,OFFSET(F3:F121,ROW(F3:F121)-MIN(ROW(F3:F121)),,1,)),N(F3:F121=F127))&amp;" Actions"</f>
        <v/>
      </c>
      <c r="I127" s="127">
        <f t="array" ref="I127">(SUMPRODUCT(SUBTOTAL(3,OFFSET(F3:F121,ROW(F3:F121)-MIN(ROW(F3:F121)),,1,)),N(F3:F121=F127)))/SUBTOTAL(3,A3:A121)</f>
        <v/>
      </c>
    </row>
    <row r="128" ht="23.25" customHeight="1">
      <c r="E128" s="126" t="n"/>
      <c r="F128" s="43" t="inlineStr">
        <is>
          <t>Others</t>
        </is>
      </c>
      <c r="G128" s="4">
        <f t="array" ref="G128">SUMPRODUCT(SUBTOTAL(3,OFFSET(F3:F121,ROW(F3:F121)-MIN(ROW(F3:F121)),,1,)),N(F3:F121=F128))&amp;" Actions"</f>
        <v/>
      </c>
      <c r="H128" s="58" t="n"/>
      <c r="I128" s="127">
        <f t="array" ref="I128">(SUMPRODUCT(SUBTOTAL(3,OFFSET(F3:F121,ROW(F3:F121)-MIN(ROW(F3:F121)),,1,)),N(F3:F121=F128)))/SUBTOTAL(3,A3:A121)</f>
        <v/>
      </c>
    </row>
    <row r="129">
      <c r="E129" s="56" t="n"/>
    </row>
    <row r="130">
      <c r="E130" s="56" t="n"/>
    </row>
  </sheetData>
  <autoFilter ref="A1:T128"/>
  <mergeCells count="20">
    <mergeCell ref="C1:C2"/>
    <mergeCell ref="E1:E2"/>
    <mergeCell ref="K1:K2"/>
    <mergeCell ref="M1:M2"/>
    <mergeCell ref="O1:O2"/>
    <mergeCell ref="E123:E128"/>
    <mergeCell ref="Q1:Q2"/>
    <mergeCell ref="S122:T122"/>
    <mergeCell ref="B1:B2"/>
    <mergeCell ref="L1:L2"/>
    <mergeCell ref="N1:N2"/>
    <mergeCell ref="G1:G2"/>
    <mergeCell ref="I1:I2"/>
    <mergeCell ref="D1:D2"/>
    <mergeCell ref="R1:R2"/>
    <mergeCell ref="F1:F2"/>
    <mergeCell ref="H1:H2"/>
    <mergeCell ref="J1:J2"/>
    <mergeCell ref="P1:P2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G5" sqref="F5:G5"/>
    </sheetView>
  </sheetViews>
  <sheetFormatPr baseColWidth="10" defaultRowHeight="15"/>
  <cols>
    <col width="15.5703125" customWidth="1" min="2" max="2"/>
    <col width="14.7109375" customWidth="1" min="4" max="4"/>
    <col width="54.28515625" customWidth="1" min="5" max="5"/>
    <col width="17.85546875" customWidth="1" min="6" max="6"/>
  </cols>
  <sheetData>
    <row r="1">
      <c r="A1" s="1" t="inlineStr">
        <is>
          <t>Activity N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Plant</t>
        </is>
      </c>
      <c r="E1" s="1" t="inlineStr">
        <is>
          <t>Activity Title/ description</t>
        </is>
      </c>
      <c r="F1" s="128" t="inlineStr">
        <is>
          <t>Slide Number in PPT</t>
        </is>
      </c>
    </row>
    <row r="2">
      <c r="A2" s="116" t="n"/>
      <c r="B2" s="116" t="n"/>
      <c r="C2" s="116" t="n"/>
      <c r="D2" s="116" t="n"/>
      <c r="E2" s="116" t="n"/>
      <c r="F2" s="116" t="n"/>
    </row>
    <row r="3" ht="24" customHeight="1">
      <c r="A3" s="2" t="inlineStr">
        <is>
          <t>CSR 1</t>
        </is>
      </c>
      <c r="B3" s="81" t="inlineStr">
        <is>
          <t>EE</t>
        </is>
      </c>
      <c r="C3" s="33" t="inlineStr">
        <is>
          <t>Serbia</t>
        </is>
      </c>
      <c r="D3" s="35" t="inlineStr">
        <is>
          <t>Serbia</t>
        </is>
      </c>
      <c r="E3" s="12" t="n"/>
      <c r="F3" s="61" t="n"/>
    </row>
    <row r="4" ht="25.5" customHeight="1">
      <c r="A4" s="2" t="inlineStr">
        <is>
          <t>CSR 2</t>
        </is>
      </c>
      <c r="B4" s="81" t="inlineStr">
        <is>
          <t>EE</t>
        </is>
      </c>
      <c r="C4" s="33" t="inlineStr">
        <is>
          <t>Serbia</t>
        </is>
      </c>
      <c r="D4" s="35" t="inlineStr">
        <is>
          <t>Serbia</t>
        </is>
      </c>
      <c r="E4" s="12" t="n"/>
      <c r="F4" s="105" t="n"/>
    </row>
    <row r="5" ht="18.75" customHeight="1">
      <c r="A5" s="2" t="inlineStr">
        <is>
          <t>CSR 3</t>
        </is>
      </c>
      <c r="B5" s="81" t="inlineStr">
        <is>
          <t>EE</t>
        </is>
      </c>
      <c r="C5" s="33" t="inlineStr">
        <is>
          <t>Serbia</t>
        </is>
      </c>
      <c r="D5" s="35" t="inlineStr">
        <is>
          <t>Serbia</t>
        </is>
      </c>
      <c r="E5" s="12" t="n"/>
      <c r="F5" s="105" t="n"/>
    </row>
    <row r="6" ht="18.75" customHeight="1">
      <c r="A6" s="2" t="inlineStr">
        <is>
          <t>CSR 4</t>
        </is>
      </c>
      <c r="B6" s="81" t="inlineStr">
        <is>
          <t>EE</t>
        </is>
      </c>
      <c r="C6" s="33" t="inlineStr">
        <is>
          <t>Serbia</t>
        </is>
      </c>
      <c r="D6" s="35" t="inlineStr">
        <is>
          <t>Serbia</t>
        </is>
      </c>
      <c r="E6" s="3" t="n"/>
      <c r="F6" s="105" t="n"/>
    </row>
    <row r="7" ht="18.75" customHeight="1">
      <c r="A7" s="2" t="inlineStr">
        <is>
          <t>CSR 5</t>
        </is>
      </c>
      <c r="B7" s="81" t="inlineStr">
        <is>
          <t>EE</t>
        </is>
      </c>
      <c r="C7" s="33" t="inlineStr">
        <is>
          <t>Serbia</t>
        </is>
      </c>
      <c r="D7" s="35" t="inlineStr">
        <is>
          <t>Serbia</t>
        </is>
      </c>
      <c r="E7" s="3" t="n"/>
      <c r="F7" s="105" t="n"/>
    </row>
    <row r="8" ht="20.25" customHeight="1">
      <c r="A8" s="2" t="inlineStr">
        <is>
          <t>CSR 6</t>
        </is>
      </c>
      <c r="B8" s="81" t="inlineStr">
        <is>
          <t>EE</t>
        </is>
      </c>
      <c r="C8" s="33" t="inlineStr">
        <is>
          <t>Serbia</t>
        </is>
      </c>
      <c r="D8" s="35" t="inlineStr">
        <is>
          <t>Serbia</t>
        </is>
      </c>
      <c r="E8" s="12" t="n"/>
      <c r="F8" s="105" t="n"/>
    </row>
    <row r="9" ht="32.25" customHeight="1">
      <c r="A9" s="2" t="inlineStr">
        <is>
          <t>CSR 7</t>
        </is>
      </c>
      <c r="B9" s="81" t="inlineStr">
        <is>
          <t>EE</t>
        </is>
      </c>
      <c r="C9" s="33" t="inlineStr">
        <is>
          <t>Serbia</t>
        </is>
      </c>
      <c r="D9" s="35" t="inlineStr">
        <is>
          <t>Serbia</t>
        </is>
      </c>
      <c r="E9" s="50" t="n"/>
      <c r="F9" s="105" t="n"/>
    </row>
    <row r="10" ht="18.75" customHeight="1">
      <c r="A10" s="2" t="inlineStr">
        <is>
          <t>CSR 8</t>
        </is>
      </c>
      <c r="B10" s="81" t="inlineStr">
        <is>
          <t>EE</t>
        </is>
      </c>
      <c r="C10" s="33" t="inlineStr">
        <is>
          <t>Serbia</t>
        </is>
      </c>
      <c r="D10" s="35" t="inlineStr">
        <is>
          <t>Serbia</t>
        </is>
      </c>
      <c r="E10" s="12" t="n"/>
      <c r="F10" s="105" t="n"/>
    </row>
    <row r="11" ht="21.75" customHeight="1">
      <c r="A11" s="2" t="inlineStr">
        <is>
          <t>CSR 9</t>
        </is>
      </c>
      <c r="B11" s="81" t="inlineStr">
        <is>
          <t>EE</t>
        </is>
      </c>
      <c r="C11" s="33" t="inlineStr">
        <is>
          <t>Serbia</t>
        </is>
      </c>
      <c r="D11" s="35" t="inlineStr">
        <is>
          <t>Serbia</t>
        </is>
      </c>
      <c r="E11" s="12" t="n"/>
      <c r="F11" s="105" t="n"/>
    </row>
    <row r="12" ht="29.25" customHeight="1">
      <c r="A12" s="2" t="inlineStr">
        <is>
          <t>CSR 10</t>
        </is>
      </c>
      <c r="B12" s="81" t="inlineStr">
        <is>
          <t>EE</t>
        </is>
      </c>
      <c r="C12" s="33" t="inlineStr">
        <is>
          <t>Serbia</t>
        </is>
      </c>
      <c r="D12" s="35" t="inlineStr">
        <is>
          <t>Serbia</t>
        </is>
      </c>
      <c r="E12" s="12" t="n"/>
      <c r="F12" s="105" t="n"/>
    </row>
    <row r="13" ht="18.75" customHeight="1">
      <c r="A13" s="2" t="inlineStr">
        <is>
          <t>CSR 11</t>
        </is>
      </c>
      <c r="B13" s="81" t="inlineStr">
        <is>
          <t>EE</t>
        </is>
      </c>
      <c r="C13" s="33" t="inlineStr">
        <is>
          <t>Serbia</t>
        </is>
      </c>
      <c r="D13" s="35" t="inlineStr">
        <is>
          <t>Serbia</t>
        </is>
      </c>
      <c r="E13" s="12" t="n"/>
      <c r="F13" s="105" t="n"/>
    </row>
    <row r="14" ht="18.75" customHeight="1">
      <c r="A14" s="2" t="inlineStr">
        <is>
          <t>CSR 12</t>
        </is>
      </c>
      <c r="B14" s="81" t="inlineStr">
        <is>
          <t>EE</t>
        </is>
      </c>
      <c r="C14" s="33" t="inlineStr">
        <is>
          <t>Serbia</t>
        </is>
      </c>
      <c r="D14" s="35" t="inlineStr">
        <is>
          <t>Serbia</t>
        </is>
      </c>
      <c r="E14" s="12" t="n"/>
      <c r="F14" s="105" t="n"/>
    </row>
    <row r="15" ht="18.75" customHeight="1">
      <c r="A15" s="2" t="inlineStr">
        <is>
          <t>CSR 13</t>
        </is>
      </c>
      <c r="B15" s="81" t="inlineStr">
        <is>
          <t>EE</t>
        </is>
      </c>
      <c r="C15" s="33" t="inlineStr">
        <is>
          <t>Serbia</t>
        </is>
      </c>
      <c r="D15" s="35" t="inlineStr">
        <is>
          <t>Serbia</t>
        </is>
      </c>
      <c r="E15" s="12" t="n"/>
      <c r="F15" s="105" t="n"/>
    </row>
    <row r="16" ht="18.75" customHeight="1">
      <c r="A16" s="2" t="inlineStr">
        <is>
          <t>CSR 14</t>
        </is>
      </c>
      <c r="B16" s="81" t="inlineStr">
        <is>
          <t>EE</t>
        </is>
      </c>
      <c r="C16" s="33" t="inlineStr">
        <is>
          <t>Serbia</t>
        </is>
      </c>
      <c r="D16" s="35" t="inlineStr">
        <is>
          <t>Serbia</t>
        </is>
      </c>
      <c r="E16" s="12" t="n"/>
      <c r="F16" s="105" t="n"/>
    </row>
    <row r="17" ht="18.75" customHeight="1">
      <c r="A17" s="2" t="inlineStr">
        <is>
          <t>CSR 15</t>
        </is>
      </c>
      <c r="B17" s="81" t="inlineStr">
        <is>
          <t>EE</t>
        </is>
      </c>
      <c r="C17" s="36" t="inlineStr">
        <is>
          <t>Romania</t>
        </is>
      </c>
      <c r="D17" s="35" t="inlineStr">
        <is>
          <t>Ploeisti</t>
        </is>
      </c>
      <c r="E17" s="12" t="n"/>
      <c r="F17" s="105" t="n"/>
    </row>
    <row r="18" ht="18.75" customHeight="1">
      <c r="A18" s="2" t="inlineStr">
        <is>
          <t>CSR 16</t>
        </is>
      </c>
      <c r="B18" s="81" t="inlineStr">
        <is>
          <t>EE</t>
        </is>
      </c>
      <c r="C18" s="36" t="inlineStr">
        <is>
          <t>Romania</t>
        </is>
      </c>
      <c r="D18" s="35" t="inlineStr">
        <is>
          <t>Ploeisti</t>
        </is>
      </c>
      <c r="E18" s="3" t="n"/>
      <c r="F18" s="105" t="n"/>
    </row>
    <row r="19" ht="18.75" customHeight="1">
      <c r="A19" s="2" t="inlineStr">
        <is>
          <t>CSR 17</t>
        </is>
      </c>
      <c r="B19" s="81" t="inlineStr">
        <is>
          <t>EE</t>
        </is>
      </c>
      <c r="C19" s="36" t="inlineStr">
        <is>
          <t>Romania</t>
        </is>
      </c>
      <c r="D19" s="35" t="inlineStr">
        <is>
          <t>Ploeisti</t>
        </is>
      </c>
      <c r="E19" s="3" t="n"/>
      <c r="F19" s="105" t="n"/>
    </row>
    <row r="20" ht="18.75" customHeight="1">
      <c r="A20" s="2" t="inlineStr">
        <is>
          <t>CSR 18</t>
        </is>
      </c>
      <c r="B20" s="81" t="inlineStr">
        <is>
          <t>EE</t>
        </is>
      </c>
      <c r="C20" s="36" t="inlineStr">
        <is>
          <t>Romania</t>
        </is>
      </c>
      <c r="D20" s="35" t="inlineStr">
        <is>
          <t>Ploeisti</t>
        </is>
      </c>
      <c r="E20" s="12" t="n"/>
      <c r="F20" s="105" t="n"/>
    </row>
    <row r="21" ht="18.75" customHeight="1">
      <c r="A21" s="2" t="inlineStr">
        <is>
          <t>CSR 19</t>
        </is>
      </c>
      <c r="B21" s="81" t="inlineStr">
        <is>
          <t>EE</t>
        </is>
      </c>
      <c r="C21" s="36" t="inlineStr">
        <is>
          <t>Romania</t>
        </is>
      </c>
      <c r="D21" s="35" t="inlineStr">
        <is>
          <t>Romania</t>
        </is>
      </c>
      <c r="E21" s="3" t="n"/>
      <c r="F21" s="105" t="n"/>
    </row>
    <row r="22" ht="18.75" customHeight="1">
      <c r="A22" s="2" t="inlineStr">
        <is>
          <t>CSR 20</t>
        </is>
      </c>
      <c r="B22" s="81" t="inlineStr">
        <is>
          <t>EE</t>
        </is>
      </c>
      <c r="C22" s="36" t="inlineStr">
        <is>
          <t>Romania</t>
        </is>
      </c>
      <c r="D22" s="35" t="inlineStr">
        <is>
          <t>Romania</t>
        </is>
      </c>
      <c r="E22" s="12" t="n"/>
      <c r="F22" s="105" t="n"/>
    </row>
    <row r="23" ht="18.75" customHeight="1">
      <c r="A23" s="2" t="inlineStr">
        <is>
          <t>CSR 21</t>
        </is>
      </c>
      <c r="B23" s="81" t="inlineStr">
        <is>
          <t>EE</t>
        </is>
      </c>
      <c r="C23" s="36" t="inlineStr">
        <is>
          <t>Romania</t>
        </is>
      </c>
      <c r="D23" s="35" t="inlineStr">
        <is>
          <t>Romania</t>
        </is>
      </c>
      <c r="E23" s="17" t="n"/>
      <c r="F23" s="105" t="n"/>
    </row>
    <row r="24" ht="15" customHeight="1">
      <c r="A24" s="2" t="inlineStr">
        <is>
          <t>CSR 22</t>
        </is>
      </c>
      <c r="B24" s="81" t="inlineStr">
        <is>
          <t>EE</t>
        </is>
      </c>
      <c r="C24" s="36" t="inlineStr">
        <is>
          <t>Romania</t>
        </is>
      </c>
      <c r="D24" s="35" t="inlineStr">
        <is>
          <t>Romania</t>
        </is>
      </c>
      <c r="E24" s="3" t="n"/>
      <c r="F24" s="105" t="n"/>
    </row>
    <row r="25" ht="15" customHeight="1">
      <c r="A25" s="2" t="inlineStr">
        <is>
          <t>CSR 23</t>
        </is>
      </c>
      <c r="B25" s="81" t="inlineStr">
        <is>
          <t>EE</t>
        </is>
      </c>
      <c r="C25" s="36" t="inlineStr">
        <is>
          <t>Romania</t>
        </is>
      </c>
      <c r="D25" s="35" t="inlineStr">
        <is>
          <t>Romania</t>
        </is>
      </c>
      <c r="E25" s="3" t="n"/>
      <c r="F25" s="105" t="n"/>
    </row>
    <row r="26" ht="15" customHeight="1">
      <c r="A26" s="2" t="inlineStr">
        <is>
          <t>CSR 24</t>
        </is>
      </c>
      <c r="B26" s="81" t="inlineStr">
        <is>
          <t>EE</t>
        </is>
      </c>
      <c r="C26" s="36" t="inlineStr">
        <is>
          <t>Romania</t>
        </is>
      </c>
      <c r="D26" s="35" t="inlineStr">
        <is>
          <t>Romania</t>
        </is>
      </c>
      <c r="E26" s="3" t="n"/>
      <c r="F26" s="105" t="n"/>
    </row>
    <row r="27" ht="15" customHeight="1">
      <c r="A27" s="2" t="inlineStr">
        <is>
          <t>CSR 25</t>
        </is>
      </c>
      <c r="B27" s="81" t="inlineStr">
        <is>
          <t>EE</t>
        </is>
      </c>
      <c r="C27" s="36" t="inlineStr">
        <is>
          <t>Romania</t>
        </is>
      </c>
      <c r="D27" s="35" t="inlineStr">
        <is>
          <t>Romania</t>
        </is>
      </c>
      <c r="E27" s="3" t="n"/>
      <c r="F27" s="105" t="n"/>
    </row>
    <row r="28" ht="15" customHeight="1">
      <c r="A28" s="2" t="inlineStr">
        <is>
          <t>CSR 26</t>
        </is>
      </c>
      <c r="B28" s="81" t="inlineStr">
        <is>
          <t>EE</t>
        </is>
      </c>
      <c r="C28" s="36" t="inlineStr">
        <is>
          <t>Romania</t>
        </is>
      </c>
      <c r="D28" s="35" t="inlineStr">
        <is>
          <t>Romania</t>
        </is>
      </c>
      <c r="E28" s="12" t="n"/>
      <c r="F28" s="105" t="n"/>
    </row>
    <row r="29" ht="30" customHeight="1">
      <c r="A29" s="2" t="inlineStr">
        <is>
          <t>CSR 27</t>
        </is>
      </c>
      <c r="B29" s="81" t="inlineStr">
        <is>
          <t>EE</t>
        </is>
      </c>
      <c r="C29" s="80" t="inlineStr">
        <is>
          <t>Romania</t>
        </is>
      </c>
      <c r="D29" s="33" t="inlineStr">
        <is>
          <t>Romania</t>
        </is>
      </c>
      <c r="E29" s="12" t="n"/>
      <c r="F29" s="105" t="n"/>
    </row>
    <row r="30" ht="15" customHeight="1">
      <c r="A30" s="2" t="inlineStr">
        <is>
          <t>CSR 28</t>
        </is>
      </c>
      <c r="B30" s="81" t="inlineStr">
        <is>
          <t>ASIA</t>
        </is>
      </c>
      <c r="C30" s="3" t="inlineStr">
        <is>
          <t>China</t>
        </is>
      </c>
      <c r="D30" s="35" t="inlineStr">
        <is>
          <t>Tianjin</t>
        </is>
      </c>
      <c r="E30" s="17" t="n"/>
      <c r="F30" s="105" t="n"/>
    </row>
    <row r="31" ht="15" customHeight="1">
      <c r="A31" s="2" t="inlineStr">
        <is>
          <t>CSR 29</t>
        </is>
      </c>
      <c r="B31" s="81" t="inlineStr">
        <is>
          <t>ASIA</t>
        </is>
      </c>
      <c r="C31" s="3" t="inlineStr">
        <is>
          <t>China</t>
        </is>
      </c>
      <c r="D31" s="35" t="inlineStr">
        <is>
          <t>Tianjin</t>
        </is>
      </c>
      <c r="E31" s="17" t="n"/>
      <c r="F31" s="105" t="n"/>
    </row>
    <row r="32" ht="15" customHeight="1">
      <c r="A32" s="2" t="inlineStr">
        <is>
          <t>CSR 30</t>
        </is>
      </c>
      <c r="B32" s="81" t="inlineStr">
        <is>
          <t>ASIA</t>
        </is>
      </c>
      <c r="C32" s="3" t="inlineStr">
        <is>
          <t>China</t>
        </is>
      </c>
      <c r="D32" s="35" t="inlineStr">
        <is>
          <t>Tianjin</t>
        </is>
      </c>
      <c r="E32" s="3" t="n"/>
      <c r="F32" s="105" t="n"/>
    </row>
    <row r="33" ht="30" customHeight="1">
      <c r="A33" s="2" t="inlineStr">
        <is>
          <t>CSR 31</t>
        </is>
      </c>
      <c r="B33" s="81" t="inlineStr">
        <is>
          <t>ASIA</t>
        </is>
      </c>
      <c r="C33" s="3" t="inlineStr">
        <is>
          <t>China</t>
        </is>
      </c>
      <c r="D33" s="35" t="inlineStr">
        <is>
          <t>Tianjin</t>
        </is>
      </c>
      <c r="E33" s="50" t="n"/>
      <c r="F33" s="105" t="n"/>
    </row>
    <row r="34" ht="15" customHeight="1">
      <c r="A34" s="2" t="inlineStr">
        <is>
          <t>CSR 32</t>
        </is>
      </c>
      <c r="B34" s="81" t="inlineStr">
        <is>
          <t>ASIA</t>
        </is>
      </c>
      <c r="C34" s="3" t="inlineStr">
        <is>
          <t>China</t>
        </is>
      </c>
      <c r="D34" s="35" t="inlineStr">
        <is>
          <t>Tianjin</t>
        </is>
      </c>
      <c r="E34" s="12" t="n"/>
      <c r="F34" s="105" t="n"/>
    </row>
    <row r="35" ht="15" customHeight="1">
      <c r="A35" s="2" t="inlineStr">
        <is>
          <t>CSR 33</t>
        </is>
      </c>
      <c r="B35" s="81" t="inlineStr">
        <is>
          <t>ASIA</t>
        </is>
      </c>
      <c r="C35" s="3" t="inlineStr">
        <is>
          <t>China</t>
        </is>
      </c>
      <c r="D35" s="35" t="inlineStr">
        <is>
          <t>Tianjin</t>
        </is>
      </c>
      <c r="E35" s="17" t="n"/>
      <c r="F35" s="105" t="n"/>
    </row>
    <row r="36" ht="15" customHeight="1">
      <c r="A36" s="2" t="inlineStr">
        <is>
          <t>CSR 34</t>
        </is>
      </c>
      <c r="B36" s="81" t="inlineStr">
        <is>
          <t>ASIA</t>
        </is>
      </c>
      <c r="C36" s="3" t="inlineStr">
        <is>
          <t>China</t>
        </is>
      </c>
      <c r="D36" s="35" t="inlineStr">
        <is>
          <t>Tianjin</t>
        </is>
      </c>
      <c r="E36" s="17" t="n"/>
      <c r="F36" s="105" t="n"/>
    </row>
    <row r="37" ht="15" customHeight="1">
      <c r="A37" s="2" t="inlineStr">
        <is>
          <t>CSR 35</t>
        </is>
      </c>
      <c r="B37" s="81" t="inlineStr">
        <is>
          <t>ASIA</t>
        </is>
      </c>
      <c r="C37" s="3" t="inlineStr">
        <is>
          <t>China</t>
        </is>
      </c>
      <c r="D37" s="3" t="inlineStr">
        <is>
          <t>Tianjin</t>
        </is>
      </c>
      <c r="E37" s="17" t="n"/>
      <c r="F37" s="105" t="n"/>
    </row>
    <row r="38" ht="18.75" customHeight="1">
      <c r="A38" s="119" t="inlineStr">
        <is>
          <t>CSR 36</t>
        </is>
      </c>
      <c r="B38" s="81" t="inlineStr">
        <is>
          <t>western Europe</t>
        </is>
      </c>
      <c r="C38" s="3" t="inlineStr">
        <is>
          <t>Portugal</t>
        </is>
      </c>
      <c r="D38" s="3" t="inlineStr">
        <is>
          <t>Guarda</t>
        </is>
      </c>
      <c r="E38" s="3" t="n"/>
      <c r="F38" s="105" t="n"/>
    </row>
    <row r="39" ht="18.75" customHeight="1">
      <c r="A39" s="116" t="n"/>
      <c r="B39" s="81" t="inlineStr">
        <is>
          <t>western Europe</t>
        </is>
      </c>
      <c r="C39" s="3" t="inlineStr">
        <is>
          <t>Portugal</t>
        </is>
      </c>
      <c r="D39" s="3" t="inlineStr">
        <is>
          <t>Guarda 2</t>
        </is>
      </c>
      <c r="E39" s="116" t="n"/>
      <c r="F39" s="116" t="n"/>
    </row>
    <row r="40" ht="18.75" customHeight="1">
      <c r="A40" s="119" t="inlineStr">
        <is>
          <t>CSR 37</t>
        </is>
      </c>
      <c r="B40" s="81" t="inlineStr">
        <is>
          <t>western Europe</t>
        </is>
      </c>
      <c r="C40" s="3" t="inlineStr">
        <is>
          <t>Portugal</t>
        </is>
      </c>
      <c r="D40" s="3" t="inlineStr">
        <is>
          <t>Guarda</t>
        </is>
      </c>
      <c r="E40" s="12" t="n"/>
      <c r="F40" s="105" t="n"/>
    </row>
    <row r="41" ht="18.75" customHeight="1">
      <c r="A41" s="116" t="n"/>
      <c r="B41" s="81" t="inlineStr">
        <is>
          <t>western Europe</t>
        </is>
      </c>
      <c r="C41" s="3" t="inlineStr">
        <is>
          <t>Portugal</t>
        </is>
      </c>
      <c r="D41" s="3" t="inlineStr">
        <is>
          <t>Guarda 2</t>
        </is>
      </c>
      <c r="E41" s="116" t="n"/>
      <c r="F41" s="116" t="n"/>
    </row>
    <row r="42" ht="18.75" customHeight="1">
      <c r="A42" s="119" t="inlineStr">
        <is>
          <t>CSR 38</t>
        </is>
      </c>
      <c r="B42" s="81" t="inlineStr">
        <is>
          <t>western Europe</t>
        </is>
      </c>
      <c r="C42" s="3" t="inlineStr">
        <is>
          <t>Portugal</t>
        </is>
      </c>
      <c r="D42" s="3" t="inlineStr">
        <is>
          <t>Guarda</t>
        </is>
      </c>
      <c r="E42" s="12" t="n"/>
      <c r="F42" s="105" t="n"/>
    </row>
    <row r="43" ht="18.75" customHeight="1">
      <c r="A43" s="116" t="n"/>
      <c r="B43" s="81" t="inlineStr">
        <is>
          <t>western Europe</t>
        </is>
      </c>
      <c r="C43" s="3" t="inlineStr">
        <is>
          <t>Portugal</t>
        </is>
      </c>
      <c r="D43" s="3" t="inlineStr">
        <is>
          <t>Guarda 2</t>
        </is>
      </c>
      <c r="E43" s="116" t="n"/>
      <c r="F43" s="116" t="n"/>
    </row>
    <row r="44" ht="18.75" customHeight="1">
      <c r="A44" s="119" t="inlineStr">
        <is>
          <t>CSR 39</t>
        </is>
      </c>
      <c r="B44" s="81" t="inlineStr">
        <is>
          <t>western Europe</t>
        </is>
      </c>
      <c r="C44" s="3" t="inlineStr">
        <is>
          <t>Portugal</t>
        </is>
      </c>
      <c r="D44" s="3" t="inlineStr">
        <is>
          <t>Guarda</t>
        </is>
      </c>
      <c r="E44" s="12" t="n"/>
      <c r="F44" s="105" t="n"/>
    </row>
    <row r="45" ht="10.5" customHeight="1">
      <c r="A45" s="116" t="n"/>
      <c r="B45" s="81" t="inlineStr">
        <is>
          <t>western Europe</t>
        </is>
      </c>
      <c r="C45" s="3" t="inlineStr">
        <is>
          <t>Portugal</t>
        </is>
      </c>
      <c r="D45" s="3" t="inlineStr">
        <is>
          <t>Guarda 2</t>
        </is>
      </c>
      <c r="E45" s="116" t="n"/>
      <c r="F45" s="116" t="n"/>
    </row>
    <row r="46" ht="18.75" customHeight="1">
      <c r="A46" s="119" t="inlineStr">
        <is>
          <t>CSR 40</t>
        </is>
      </c>
      <c r="B46" s="81" t="inlineStr">
        <is>
          <t>western Europe</t>
        </is>
      </c>
      <c r="C46" s="3" t="inlineStr">
        <is>
          <t>Portugal</t>
        </is>
      </c>
      <c r="D46" s="3" t="inlineStr">
        <is>
          <t>Guarda</t>
        </is>
      </c>
      <c r="E46" s="3" t="n"/>
      <c r="F46" s="105" t="n"/>
    </row>
    <row r="47" ht="10.5" customHeight="1">
      <c r="A47" s="116" t="n"/>
      <c r="B47" s="81" t="inlineStr">
        <is>
          <t>western Europe</t>
        </is>
      </c>
      <c r="C47" s="3" t="inlineStr">
        <is>
          <t>Portugal</t>
        </is>
      </c>
      <c r="D47" s="3" t="inlineStr">
        <is>
          <t>Guarda 2</t>
        </is>
      </c>
      <c r="E47" s="116" t="n"/>
      <c r="F47" s="116" t="n"/>
    </row>
    <row r="48" ht="18.75" customHeight="1">
      <c r="A48" s="119" t="inlineStr">
        <is>
          <t>CSR 41</t>
        </is>
      </c>
      <c r="B48" s="81" t="inlineStr">
        <is>
          <t>western Europe</t>
        </is>
      </c>
      <c r="C48" s="3" t="inlineStr">
        <is>
          <t>Portugal</t>
        </is>
      </c>
      <c r="D48" s="3" t="inlineStr">
        <is>
          <t>Guarda</t>
        </is>
      </c>
      <c r="E48" s="17" t="n"/>
      <c r="F48" s="105" t="n"/>
    </row>
    <row r="49" ht="10.5" customHeight="1">
      <c r="A49" s="116" t="n"/>
      <c r="B49" s="81" t="inlineStr">
        <is>
          <t>western Europe</t>
        </is>
      </c>
      <c r="C49" s="3" t="inlineStr">
        <is>
          <t>Portugal</t>
        </is>
      </c>
      <c r="D49" s="3" t="inlineStr">
        <is>
          <t>Guarda 2</t>
        </is>
      </c>
      <c r="E49" s="116" t="n"/>
      <c r="F49" s="116" t="n"/>
    </row>
    <row r="50" ht="18.75" customHeight="1">
      <c r="A50" s="55" t="inlineStr">
        <is>
          <t>CSR 42</t>
        </is>
      </c>
      <c r="B50" s="81" t="inlineStr">
        <is>
          <t>America</t>
        </is>
      </c>
      <c r="C50" s="3" t="inlineStr">
        <is>
          <t>Mexico</t>
        </is>
      </c>
      <c r="D50" s="3" t="inlineStr">
        <is>
          <t>Durrango</t>
        </is>
      </c>
      <c r="E50" s="12" t="n"/>
      <c r="F50" s="105" t="n"/>
    </row>
    <row r="51" ht="18.75" customHeight="1">
      <c r="A51" s="55" t="inlineStr">
        <is>
          <t>CSR 43</t>
        </is>
      </c>
      <c r="B51" s="81" t="inlineStr">
        <is>
          <t>America</t>
        </is>
      </c>
      <c r="C51" s="3" t="inlineStr">
        <is>
          <t>Mexico</t>
        </is>
      </c>
      <c r="D51" s="3" t="inlineStr">
        <is>
          <t>Durrango</t>
        </is>
      </c>
      <c r="E51" s="12" t="n"/>
      <c r="F51" s="105" t="n"/>
    </row>
    <row r="52" ht="18.75" customHeight="1">
      <c r="A52" s="55" t="inlineStr">
        <is>
          <t>CSR 44</t>
        </is>
      </c>
      <c r="B52" s="81" t="inlineStr">
        <is>
          <t>America</t>
        </is>
      </c>
      <c r="C52" s="3" t="inlineStr">
        <is>
          <t>Mexico</t>
        </is>
      </c>
      <c r="D52" s="3" t="inlineStr">
        <is>
          <t>Durrango</t>
        </is>
      </c>
      <c r="E52" s="12" t="n"/>
      <c r="F52" s="105" t="n"/>
    </row>
    <row r="53" ht="18.75" customHeight="1">
      <c r="A53" s="55" t="inlineStr">
        <is>
          <t>CSR 45</t>
        </is>
      </c>
      <c r="B53" s="81" t="inlineStr">
        <is>
          <t>America</t>
        </is>
      </c>
      <c r="C53" s="3" t="inlineStr">
        <is>
          <t>Mexico</t>
        </is>
      </c>
      <c r="D53" s="3" t="inlineStr">
        <is>
          <t>Durrango</t>
        </is>
      </c>
      <c r="E53" s="12" t="n"/>
      <c r="F53" s="105" t="n"/>
    </row>
    <row r="54" ht="18.75" customHeight="1">
      <c r="A54" s="55" t="inlineStr">
        <is>
          <t>CSR 46</t>
        </is>
      </c>
      <c r="B54" s="81" t="inlineStr">
        <is>
          <t>America</t>
        </is>
      </c>
      <c r="C54" s="3" t="inlineStr">
        <is>
          <t>Mexico</t>
        </is>
      </c>
      <c r="D54" s="3" t="inlineStr">
        <is>
          <t>Durrango</t>
        </is>
      </c>
      <c r="E54" s="12" t="n"/>
      <c r="F54" s="105" t="n"/>
    </row>
    <row r="55" ht="18.75" customHeight="1">
      <c r="A55" s="55" t="inlineStr">
        <is>
          <t>CSR 47</t>
        </is>
      </c>
      <c r="B55" s="81" t="inlineStr">
        <is>
          <t>America</t>
        </is>
      </c>
      <c r="C55" s="3" t="inlineStr">
        <is>
          <t>Mexico</t>
        </is>
      </c>
      <c r="D55" s="3" t="inlineStr">
        <is>
          <t>Durrango</t>
        </is>
      </c>
      <c r="E55" s="12" t="n"/>
      <c r="F55" s="105" t="n"/>
    </row>
    <row r="56" ht="18.75" customHeight="1">
      <c r="A56" s="55" t="inlineStr">
        <is>
          <t>CSR 48</t>
        </is>
      </c>
      <c r="B56" s="81" t="inlineStr">
        <is>
          <t>America</t>
        </is>
      </c>
      <c r="C56" s="3" t="inlineStr">
        <is>
          <t>Mexico</t>
        </is>
      </c>
      <c r="D56" s="3" t="inlineStr">
        <is>
          <t>Durrango</t>
        </is>
      </c>
      <c r="E56" s="12" t="n"/>
      <c r="F56" s="105" t="n"/>
    </row>
    <row r="57" ht="18.75" customHeight="1">
      <c r="A57" s="55" t="inlineStr">
        <is>
          <t>CSR 49</t>
        </is>
      </c>
      <c r="B57" s="81" t="inlineStr">
        <is>
          <t>America</t>
        </is>
      </c>
      <c r="C57" s="3" t="inlineStr">
        <is>
          <t>Mexico</t>
        </is>
      </c>
      <c r="D57" s="3" t="inlineStr">
        <is>
          <t>Durrango</t>
        </is>
      </c>
      <c r="E57" s="12" t="n"/>
      <c r="F57" s="105" t="n"/>
    </row>
    <row r="58" ht="18.75" customHeight="1">
      <c r="A58" s="55" t="inlineStr">
        <is>
          <t>CSR 50</t>
        </is>
      </c>
      <c r="B58" s="81" t="inlineStr">
        <is>
          <t>America</t>
        </is>
      </c>
      <c r="C58" s="3" t="inlineStr">
        <is>
          <t>Mexico</t>
        </is>
      </c>
      <c r="D58" s="3" t="inlineStr">
        <is>
          <t>Durrango</t>
        </is>
      </c>
      <c r="E58" s="12" t="n"/>
      <c r="F58" s="105" t="n"/>
    </row>
    <row r="59" ht="18.75" customHeight="1">
      <c r="A59" s="55" t="inlineStr">
        <is>
          <t>CSR 51</t>
        </is>
      </c>
      <c r="B59" s="81" t="inlineStr">
        <is>
          <t>America</t>
        </is>
      </c>
      <c r="C59" s="3" t="inlineStr">
        <is>
          <t>Mexico</t>
        </is>
      </c>
      <c r="D59" s="3" t="inlineStr">
        <is>
          <t>Durrango</t>
        </is>
      </c>
      <c r="E59" s="12" t="n"/>
      <c r="F59" s="105" t="n"/>
    </row>
    <row r="60" ht="18.75" customHeight="1">
      <c r="A60" s="55" t="inlineStr">
        <is>
          <t>CSR 52</t>
        </is>
      </c>
      <c r="B60" s="81" t="inlineStr">
        <is>
          <t>America</t>
        </is>
      </c>
      <c r="C60" s="3" t="inlineStr">
        <is>
          <t>Mexico</t>
        </is>
      </c>
      <c r="D60" s="3" t="inlineStr">
        <is>
          <t>Durrango</t>
        </is>
      </c>
      <c r="E60" s="12" t="n"/>
      <c r="F60" s="105" t="n"/>
    </row>
    <row r="61" ht="18.75" customHeight="1">
      <c r="A61" s="55" t="inlineStr">
        <is>
          <t>CSR 53</t>
        </is>
      </c>
      <c r="B61" s="81" t="inlineStr">
        <is>
          <t>America</t>
        </is>
      </c>
      <c r="C61" s="3" t="inlineStr">
        <is>
          <t>Mexico</t>
        </is>
      </c>
      <c r="D61" s="3" t="inlineStr">
        <is>
          <t>Léon</t>
        </is>
      </c>
      <c r="E61" s="17" t="n"/>
      <c r="F61" s="105" t="n"/>
    </row>
    <row r="62" ht="18.75" customHeight="1">
      <c r="A62" s="55" t="inlineStr">
        <is>
          <t>CSR 54</t>
        </is>
      </c>
      <c r="B62" s="81" t="inlineStr">
        <is>
          <t>America</t>
        </is>
      </c>
      <c r="C62" s="3" t="inlineStr">
        <is>
          <t>Mexico</t>
        </is>
      </c>
      <c r="D62" s="3" t="inlineStr">
        <is>
          <t>Léon</t>
        </is>
      </c>
      <c r="E62" s="12" t="n"/>
      <c r="F62" s="105" t="n"/>
    </row>
    <row r="63" ht="18.75" customHeight="1">
      <c r="A63" s="55" t="inlineStr">
        <is>
          <t>CSR 55</t>
        </is>
      </c>
      <c r="B63" s="81" t="inlineStr">
        <is>
          <t>America</t>
        </is>
      </c>
      <c r="C63" s="3" t="inlineStr">
        <is>
          <t>Mexico</t>
        </is>
      </c>
      <c r="D63" s="3" t="inlineStr">
        <is>
          <t>Léon</t>
        </is>
      </c>
      <c r="E63" s="12" t="n"/>
      <c r="F63" s="105" t="n"/>
    </row>
    <row r="64" ht="18.75" customHeight="1">
      <c r="A64" s="55" t="inlineStr">
        <is>
          <t>CSR 56</t>
        </is>
      </c>
      <c r="B64" s="81" t="inlineStr">
        <is>
          <t>America</t>
        </is>
      </c>
      <c r="C64" s="3" t="inlineStr">
        <is>
          <t>Mexico</t>
        </is>
      </c>
      <c r="D64" s="3" t="inlineStr">
        <is>
          <t>Léon</t>
        </is>
      </c>
      <c r="E64" s="3" t="n"/>
      <c r="F64" s="105" t="n"/>
    </row>
    <row r="65" ht="18.75" customHeight="1">
      <c r="A65" s="55" t="inlineStr">
        <is>
          <t>CSR 57</t>
        </is>
      </c>
      <c r="B65" s="81" t="inlineStr">
        <is>
          <t>America</t>
        </is>
      </c>
      <c r="C65" s="3" t="inlineStr">
        <is>
          <t>Mexico</t>
        </is>
      </c>
      <c r="D65" s="3" t="inlineStr">
        <is>
          <t>Léon</t>
        </is>
      </c>
      <c r="E65" s="12" t="n"/>
      <c r="F65" s="105" t="n"/>
    </row>
    <row r="66" ht="18.75" customHeight="1">
      <c r="A66" s="55" t="inlineStr">
        <is>
          <t>CSR 58</t>
        </is>
      </c>
      <c r="B66" s="81" t="inlineStr">
        <is>
          <t>America</t>
        </is>
      </c>
      <c r="C66" s="3" t="inlineStr">
        <is>
          <t>Mexico</t>
        </is>
      </c>
      <c r="D66" s="3" t="inlineStr">
        <is>
          <t>Léon</t>
        </is>
      </c>
      <c r="E66" s="3" t="n"/>
      <c r="F66" s="105" t="n"/>
    </row>
    <row r="67" ht="18.75" customHeight="1">
      <c r="A67" s="55" t="inlineStr">
        <is>
          <t>CSR 59</t>
        </is>
      </c>
      <c r="B67" s="81" t="inlineStr">
        <is>
          <t>America</t>
        </is>
      </c>
      <c r="C67" s="3" t="inlineStr">
        <is>
          <t>Mexico</t>
        </is>
      </c>
      <c r="D67" s="3" t="inlineStr">
        <is>
          <t>Léon</t>
        </is>
      </c>
      <c r="E67" s="12" t="n"/>
      <c r="F67" s="105" t="n"/>
    </row>
    <row r="68" ht="18.75" customHeight="1">
      <c r="A68" s="55" t="inlineStr">
        <is>
          <t>CSR 60</t>
        </is>
      </c>
      <c r="B68" s="81" t="inlineStr">
        <is>
          <t>America</t>
        </is>
      </c>
      <c r="C68" s="3" t="inlineStr">
        <is>
          <t>Mexico</t>
        </is>
      </c>
      <c r="D68" s="3" t="inlineStr">
        <is>
          <t>Léon</t>
        </is>
      </c>
      <c r="E68" s="50" t="n"/>
      <c r="F68" s="105" t="n"/>
    </row>
    <row r="69" ht="18.75" customHeight="1">
      <c r="A69" s="55" t="inlineStr">
        <is>
          <t>CSR 61</t>
        </is>
      </c>
      <c r="B69" s="81" t="inlineStr">
        <is>
          <t>America</t>
        </is>
      </c>
      <c r="C69" s="3" t="inlineStr">
        <is>
          <t>Mexico</t>
        </is>
      </c>
      <c r="D69" s="3" t="inlineStr">
        <is>
          <t>Léon</t>
        </is>
      </c>
      <c r="E69" s="3" t="n"/>
      <c r="F69" s="105" t="n"/>
    </row>
    <row r="70" ht="18.75" customHeight="1">
      <c r="A70" s="55" t="inlineStr">
        <is>
          <t>CSR 62</t>
        </is>
      </c>
      <c r="B70" s="81" t="inlineStr">
        <is>
          <t>America</t>
        </is>
      </c>
      <c r="C70" s="3" t="inlineStr">
        <is>
          <t>Mexico</t>
        </is>
      </c>
      <c r="D70" s="3" t="inlineStr">
        <is>
          <t>Léon</t>
        </is>
      </c>
      <c r="E70" s="3" t="n"/>
      <c r="F70" s="105" t="n"/>
    </row>
    <row r="71" ht="18.75" customHeight="1">
      <c r="A71" s="55" t="inlineStr">
        <is>
          <t>CSR 63</t>
        </is>
      </c>
      <c r="B71" s="81" t="inlineStr">
        <is>
          <t>America</t>
        </is>
      </c>
      <c r="C71" s="3" t="inlineStr">
        <is>
          <t>Mexico</t>
        </is>
      </c>
      <c r="D71" s="3" t="inlineStr">
        <is>
          <t>Honduras</t>
        </is>
      </c>
      <c r="E71" s="3" t="n"/>
      <c r="F71" s="105" t="n"/>
    </row>
    <row r="72" ht="18.75" customHeight="1">
      <c r="A72" s="55" t="inlineStr">
        <is>
          <t>CSR 64</t>
        </is>
      </c>
      <c r="B72" s="81" t="inlineStr">
        <is>
          <t>America</t>
        </is>
      </c>
      <c r="C72" s="3" t="inlineStr">
        <is>
          <t>Mexico</t>
        </is>
      </c>
      <c r="D72" s="3" t="inlineStr">
        <is>
          <t>Honduras</t>
        </is>
      </c>
      <c r="E72" s="17" t="n"/>
      <c r="F72" s="105" t="n"/>
    </row>
    <row r="73" ht="18.75" customHeight="1">
      <c r="A73" s="55" t="inlineStr">
        <is>
          <t>CSR 65</t>
        </is>
      </c>
      <c r="B73" s="81" t="inlineStr">
        <is>
          <t>America</t>
        </is>
      </c>
      <c r="C73" s="3" t="inlineStr">
        <is>
          <t>Mexico</t>
        </is>
      </c>
      <c r="D73" s="3" t="inlineStr">
        <is>
          <t>Honduras</t>
        </is>
      </c>
      <c r="E73" s="17" t="n"/>
      <c r="F73" s="105" t="n"/>
    </row>
    <row r="74" ht="18.75" customHeight="1">
      <c r="A74" s="55" t="inlineStr">
        <is>
          <t>CSR 66</t>
        </is>
      </c>
      <c r="B74" s="81" t="inlineStr">
        <is>
          <t>America</t>
        </is>
      </c>
      <c r="C74" s="3" t="inlineStr">
        <is>
          <t>Mexico</t>
        </is>
      </c>
      <c r="D74" s="3" t="inlineStr">
        <is>
          <t>Honduras</t>
        </is>
      </c>
      <c r="E74" s="3" t="n"/>
      <c r="F74" s="105" t="n"/>
    </row>
    <row r="75" ht="18.75" customHeight="1">
      <c r="A75" s="55" t="inlineStr">
        <is>
          <t>CSR 67</t>
        </is>
      </c>
      <c r="B75" s="81" t="inlineStr">
        <is>
          <t>America</t>
        </is>
      </c>
      <c r="C75" s="3" t="inlineStr">
        <is>
          <t>Mexico</t>
        </is>
      </c>
      <c r="D75" s="3" t="inlineStr">
        <is>
          <t>Honduras</t>
        </is>
      </c>
      <c r="E75" s="17" t="n"/>
      <c r="F75" s="105" t="n"/>
    </row>
    <row r="76" ht="18.75" customHeight="1">
      <c r="A76" s="55" t="inlineStr">
        <is>
          <t>CSR 68</t>
        </is>
      </c>
      <c r="B76" s="81" t="inlineStr">
        <is>
          <t>America</t>
        </is>
      </c>
      <c r="C76" s="3" t="inlineStr">
        <is>
          <t>Mexico</t>
        </is>
      </c>
      <c r="D76" s="3" t="inlineStr">
        <is>
          <t>Honduras</t>
        </is>
      </c>
      <c r="E76" s="3" t="n"/>
      <c r="F76" s="105" t="n"/>
    </row>
    <row r="77" ht="18.75" customHeight="1">
      <c r="A77" s="55" t="inlineStr">
        <is>
          <t>CSR 69</t>
        </is>
      </c>
      <c r="B77" s="81" t="inlineStr">
        <is>
          <t>America</t>
        </is>
      </c>
      <c r="C77" s="3" t="inlineStr">
        <is>
          <t>Mexico</t>
        </is>
      </c>
      <c r="D77" s="3" t="inlineStr">
        <is>
          <t>Honduras</t>
        </is>
      </c>
      <c r="E77" s="17" t="n"/>
      <c r="F77" s="105" t="n"/>
    </row>
    <row r="78" ht="18.75" customHeight="1">
      <c r="A78" s="55" t="inlineStr">
        <is>
          <t>CSR 70</t>
        </is>
      </c>
      <c r="B78" s="81" t="inlineStr">
        <is>
          <t>America</t>
        </is>
      </c>
      <c r="C78" s="3" t="inlineStr">
        <is>
          <t>Mexico</t>
        </is>
      </c>
      <c r="D78" s="3" t="inlineStr">
        <is>
          <t>Honduras</t>
        </is>
      </c>
      <c r="E78" s="50" t="n"/>
      <c r="F78" s="105" t="n"/>
    </row>
    <row r="79" ht="18.75" customHeight="1">
      <c r="A79" s="55" t="inlineStr">
        <is>
          <t>CSR 71</t>
        </is>
      </c>
      <c r="B79" s="81" t="inlineStr">
        <is>
          <t>America</t>
        </is>
      </c>
      <c r="C79" s="3" t="inlineStr">
        <is>
          <t>Mexico</t>
        </is>
      </c>
      <c r="D79" s="3" t="inlineStr">
        <is>
          <t>Honduras</t>
        </is>
      </c>
      <c r="E79" s="50" t="n"/>
      <c r="F79" s="105" t="n"/>
    </row>
    <row r="80" ht="18.75" customHeight="1">
      <c r="A80" s="55" t="inlineStr">
        <is>
          <t>CSR 72</t>
        </is>
      </c>
      <c r="B80" s="81" t="inlineStr">
        <is>
          <t>America</t>
        </is>
      </c>
      <c r="C80" s="3" t="inlineStr">
        <is>
          <t>Mexico</t>
        </is>
      </c>
      <c r="D80" s="3" t="inlineStr">
        <is>
          <t>Honduras</t>
        </is>
      </c>
      <c r="E80" s="50" t="n"/>
      <c r="F80" s="105" t="n"/>
    </row>
    <row r="81" ht="18.75" customHeight="1">
      <c r="A81" s="55" t="inlineStr">
        <is>
          <t>CSR 73</t>
        </is>
      </c>
      <c r="B81" s="81" t="inlineStr">
        <is>
          <t>America</t>
        </is>
      </c>
      <c r="C81" s="3" t="inlineStr">
        <is>
          <t>Mexico</t>
        </is>
      </c>
      <c r="D81" s="3" t="inlineStr">
        <is>
          <t>Honduras</t>
        </is>
      </c>
      <c r="E81" s="50" t="n"/>
      <c r="F81" s="105" t="n"/>
    </row>
    <row r="82" ht="18.75" customHeight="1">
      <c r="A82" s="55" t="inlineStr">
        <is>
          <t>CSR 74</t>
        </is>
      </c>
      <c r="B82" s="81" t="inlineStr">
        <is>
          <t>America</t>
        </is>
      </c>
      <c r="C82" s="3" t="inlineStr">
        <is>
          <t>Mexico</t>
        </is>
      </c>
      <c r="D82" s="3" t="inlineStr">
        <is>
          <t>Juarez</t>
        </is>
      </c>
      <c r="E82" s="17" t="n"/>
      <c r="F82" s="105" t="n"/>
    </row>
    <row r="83" ht="18.75" customHeight="1">
      <c r="A83" s="55" t="inlineStr">
        <is>
          <t>CSR 75</t>
        </is>
      </c>
      <c r="B83" s="81" t="inlineStr">
        <is>
          <t>America</t>
        </is>
      </c>
      <c r="C83" s="3" t="inlineStr">
        <is>
          <t>Mexico</t>
        </is>
      </c>
      <c r="D83" s="3" t="inlineStr">
        <is>
          <t>Juarez</t>
        </is>
      </c>
      <c r="E83" s="3" t="n"/>
      <c r="F83" s="105" t="n"/>
    </row>
    <row r="84" ht="18.75" customHeight="1">
      <c r="A84" s="55" t="inlineStr">
        <is>
          <t>CSR 76</t>
        </is>
      </c>
      <c r="B84" s="81" t="inlineStr">
        <is>
          <t>North Africa</t>
        </is>
      </c>
      <c r="C84" s="3" t="inlineStr">
        <is>
          <t>Tunisia</t>
        </is>
      </c>
      <c r="D84" s="3" t="inlineStr">
        <is>
          <t>Tunis</t>
        </is>
      </c>
      <c r="E84" s="3" t="n"/>
      <c r="F84" s="105" t="n"/>
    </row>
    <row r="85" ht="18.75" customHeight="1">
      <c r="A85" s="55" t="inlineStr">
        <is>
          <t>CSR 77</t>
        </is>
      </c>
      <c r="B85" s="81" t="inlineStr">
        <is>
          <t>North Africa</t>
        </is>
      </c>
      <c r="C85" s="3" t="inlineStr">
        <is>
          <t>Tunisia</t>
        </is>
      </c>
      <c r="D85" s="3" t="inlineStr">
        <is>
          <t>Tunis</t>
        </is>
      </c>
      <c r="E85" s="12" t="n"/>
      <c r="F85" s="105" t="n"/>
    </row>
    <row r="86" ht="18.75" customHeight="1">
      <c r="A86" s="55" t="inlineStr">
        <is>
          <t>CSR 78</t>
        </is>
      </c>
      <c r="B86" s="81" t="inlineStr">
        <is>
          <t>North Africa</t>
        </is>
      </c>
      <c r="C86" s="3" t="inlineStr">
        <is>
          <t>Tunisia</t>
        </is>
      </c>
      <c r="D86" s="3" t="inlineStr">
        <is>
          <t>Tunis</t>
        </is>
      </c>
      <c r="E86" s="3" t="n"/>
      <c r="F86" s="105" t="n"/>
    </row>
    <row r="87" ht="18.75" customHeight="1">
      <c r="A87" s="55" t="inlineStr">
        <is>
          <t>CSR 79</t>
        </is>
      </c>
      <c r="B87" s="81" t="inlineStr">
        <is>
          <t>North Africa</t>
        </is>
      </c>
      <c r="C87" s="3" t="inlineStr">
        <is>
          <t>Tunisia</t>
        </is>
      </c>
      <c r="D87" s="3" t="inlineStr">
        <is>
          <t>Tunis</t>
        </is>
      </c>
      <c r="E87" s="3" t="n"/>
      <c r="F87" s="105" t="n"/>
    </row>
    <row r="88" ht="18.75" customHeight="1">
      <c r="A88" s="55" t="inlineStr">
        <is>
          <t>CSR 80</t>
        </is>
      </c>
      <c r="B88" s="81" t="inlineStr">
        <is>
          <t>North Africa</t>
        </is>
      </c>
      <c r="C88" s="3" t="inlineStr">
        <is>
          <t>Tunisia</t>
        </is>
      </c>
      <c r="D88" s="3" t="inlineStr">
        <is>
          <t>Tunis</t>
        </is>
      </c>
      <c r="E88" s="3" t="n"/>
      <c r="F88" s="105" t="n"/>
    </row>
    <row r="89" ht="18.75" customHeight="1">
      <c r="A89" s="55" t="inlineStr">
        <is>
          <t>CSR 81</t>
        </is>
      </c>
      <c r="B89" s="81" t="inlineStr">
        <is>
          <t>North Africa</t>
        </is>
      </c>
      <c r="C89" s="3" t="inlineStr">
        <is>
          <t>Tunisia</t>
        </is>
      </c>
      <c r="D89" s="3" t="inlineStr">
        <is>
          <t>Tunis</t>
        </is>
      </c>
      <c r="E89" s="3" t="n"/>
      <c r="F89" s="105" t="n"/>
    </row>
    <row r="90" ht="18.75" customHeight="1">
      <c r="A90" s="55" t="inlineStr">
        <is>
          <t>CSR 82</t>
        </is>
      </c>
      <c r="B90" s="81" t="inlineStr">
        <is>
          <t>North Africa</t>
        </is>
      </c>
      <c r="C90" s="3" t="inlineStr">
        <is>
          <t>Tunisia</t>
        </is>
      </c>
      <c r="D90" s="3" t="inlineStr">
        <is>
          <t>Tunis</t>
        </is>
      </c>
      <c r="E90" s="12" t="n"/>
      <c r="F90" s="105" t="n"/>
    </row>
    <row r="91" ht="18.75" customHeight="1">
      <c r="A91" s="55" t="inlineStr">
        <is>
          <t>CSR 83</t>
        </is>
      </c>
      <c r="B91" s="81" t="inlineStr">
        <is>
          <t>North Africa</t>
        </is>
      </c>
      <c r="C91" s="3" t="inlineStr">
        <is>
          <t>Tunisia</t>
        </is>
      </c>
      <c r="D91" s="3" t="inlineStr">
        <is>
          <t>Tunis</t>
        </is>
      </c>
      <c r="E91" s="12" t="n"/>
      <c r="F91" s="105" t="n"/>
    </row>
    <row r="92" ht="18.75" customHeight="1">
      <c r="A92" s="55" t="inlineStr">
        <is>
          <t>CSR 84</t>
        </is>
      </c>
      <c r="B92" s="81" t="inlineStr">
        <is>
          <t>North Africa</t>
        </is>
      </c>
      <c r="C92" s="3" t="inlineStr">
        <is>
          <t>Tunisia</t>
        </is>
      </c>
      <c r="D92" s="3" t="inlineStr">
        <is>
          <t>Tunis</t>
        </is>
      </c>
      <c r="E92" s="12" t="n"/>
      <c r="F92" s="105" t="n"/>
    </row>
    <row r="93" ht="18.75" customHeight="1">
      <c r="A93" s="55" t="inlineStr">
        <is>
          <t>CSR 85</t>
        </is>
      </c>
      <c r="B93" s="81" t="inlineStr">
        <is>
          <t>North Africa</t>
        </is>
      </c>
      <c r="C93" s="3" t="inlineStr">
        <is>
          <t>Tunisia</t>
        </is>
      </c>
      <c r="D93" s="3" t="inlineStr">
        <is>
          <t>Tunis</t>
        </is>
      </c>
      <c r="E93" s="3" t="n"/>
      <c r="F93" s="105" t="n"/>
    </row>
    <row r="94" ht="18.75" customHeight="1">
      <c r="A94" s="55" t="inlineStr">
        <is>
          <t>CSR 86</t>
        </is>
      </c>
      <c r="B94" s="81" t="inlineStr">
        <is>
          <t>North Africa</t>
        </is>
      </c>
      <c r="C94" s="3" t="inlineStr">
        <is>
          <t>Tunisia</t>
        </is>
      </c>
      <c r="D94" s="3" t="inlineStr">
        <is>
          <t>Tunis</t>
        </is>
      </c>
      <c r="E94" s="3" t="n"/>
      <c r="F94" s="105" t="n"/>
    </row>
    <row r="95" ht="18.75" customHeight="1">
      <c r="A95" s="55" t="inlineStr">
        <is>
          <t>CSR 87</t>
        </is>
      </c>
      <c r="B95" s="81" t="inlineStr">
        <is>
          <t>North Africa</t>
        </is>
      </c>
      <c r="C95" s="3" t="inlineStr">
        <is>
          <t>Tunisia</t>
        </is>
      </c>
      <c r="D95" s="3" t="inlineStr">
        <is>
          <t>Mdjez el beb</t>
        </is>
      </c>
      <c r="E95" s="114" t="n"/>
      <c r="F95" s="105" t="n"/>
    </row>
    <row r="96" ht="18.75" customHeight="1">
      <c r="A96" s="55" t="inlineStr">
        <is>
          <t>CSR 88</t>
        </is>
      </c>
      <c r="B96" s="81" t="inlineStr">
        <is>
          <t>North Africa</t>
        </is>
      </c>
      <c r="C96" s="3" t="inlineStr">
        <is>
          <t>Tunisia</t>
        </is>
      </c>
      <c r="D96" s="3" t="inlineStr">
        <is>
          <t>Mdjez el beb</t>
        </is>
      </c>
      <c r="E96" s="3" t="n"/>
      <c r="F96" s="105" t="n"/>
    </row>
    <row r="97" ht="18.75" customHeight="1">
      <c r="A97" s="55" t="inlineStr">
        <is>
          <t>CSR 89</t>
        </is>
      </c>
      <c r="B97" s="81" t="inlineStr">
        <is>
          <t>North Africa</t>
        </is>
      </c>
      <c r="C97" s="3" t="inlineStr">
        <is>
          <t>Tunisia</t>
        </is>
      </c>
      <c r="D97" s="3" t="inlineStr">
        <is>
          <t>Mdjez el beb</t>
        </is>
      </c>
      <c r="E97" s="14" t="n"/>
      <c r="F97" s="105" t="n"/>
    </row>
    <row r="98" ht="18.75" customHeight="1">
      <c r="A98" s="55" t="inlineStr">
        <is>
          <t>CSR 90</t>
        </is>
      </c>
      <c r="B98" s="81" t="inlineStr">
        <is>
          <t>North Africa</t>
        </is>
      </c>
      <c r="C98" s="3" t="inlineStr">
        <is>
          <t>Tunisia</t>
        </is>
      </c>
      <c r="D98" s="3" t="inlineStr">
        <is>
          <t>Mdjez el beb</t>
        </is>
      </c>
      <c r="E98" s="14" t="n"/>
      <c r="F98" s="105" t="n"/>
    </row>
    <row r="99" ht="18.75" customHeight="1">
      <c r="A99" s="55" t="inlineStr">
        <is>
          <t>CSR 91</t>
        </is>
      </c>
      <c r="B99" s="81" t="inlineStr">
        <is>
          <t>North Africa</t>
        </is>
      </c>
      <c r="C99" s="3" t="inlineStr">
        <is>
          <t>Tunisia</t>
        </is>
      </c>
      <c r="D99" s="3" t="inlineStr">
        <is>
          <t>Mdjez el beb</t>
        </is>
      </c>
      <c r="E99" s="14" t="n"/>
      <c r="F99" s="105" t="n"/>
    </row>
    <row r="100" ht="18.75" customHeight="1">
      <c r="A100" s="55" t="inlineStr">
        <is>
          <t>CSR 92</t>
        </is>
      </c>
      <c r="B100" s="81" t="inlineStr">
        <is>
          <t>North Africa</t>
        </is>
      </c>
      <c r="C100" s="3" t="inlineStr">
        <is>
          <t>Tunisia</t>
        </is>
      </c>
      <c r="D100" s="3" t="inlineStr">
        <is>
          <t>Mdjez el beb</t>
        </is>
      </c>
      <c r="E100" s="14" t="n"/>
      <c r="F100" s="105" t="n"/>
    </row>
    <row r="101" ht="18.75" customHeight="1">
      <c r="A101" s="55" t="inlineStr">
        <is>
          <t>CSR 93</t>
        </is>
      </c>
      <c r="B101" s="81" t="inlineStr">
        <is>
          <t>North Africa</t>
        </is>
      </c>
      <c r="C101" s="3" t="inlineStr">
        <is>
          <t>Tunisia</t>
        </is>
      </c>
      <c r="D101" s="3" t="inlineStr">
        <is>
          <t>Mdjez el beb</t>
        </is>
      </c>
      <c r="E101" s="14" t="n"/>
      <c r="F101" s="105" t="n"/>
    </row>
    <row r="102" ht="18.75" customHeight="1">
      <c r="A102" s="55" t="inlineStr">
        <is>
          <t>CSR 94</t>
        </is>
      </c>
      <c r="B102" s="81" t="inlineStr">
        <is>
          <t>North Africa</t>
        </is>
      </c>
      <c r="C102" s="3" t="inlineStr">
        <is>
          <t>Tunisia</t>
        </is>
      </c>
      <c r="D102" s="3" t="inlineStr">
        <is>
          <t>Mdjez el beb</t>
        </is>
      </c>
      <c r="E102" s="14" t="n"/>
      <c r="F102" s="105" t="n"/>
    </row>
    <row r="103" ht="18.75" customHeight="1">
      <c r="A103" s="55" t="inlineStr">
        <is>
          <t>CSR 95</t>
        </is>
      </c>
      <c r="B103" s="81" t="inlineStr">
        <is>
          <t>North Africa</t>
        </is>
      </c>
      <c r="C103" s="3" t="inlineStr">
        <is>
          <t>Morocco</t>
        </is>
      </c>
      <c r="D103" s="3" t="inlineStr">
        <is>
          <t>Tangier</t>
        </is>
      </c>
      <c r="E103" s="14" t="n"/>
      <c r="F103" s="105" t="n"/>
    </row>
    <row r="104" ht="18.75" customHeight="1">
      <c r="A104" s="55" t="inlineStr">
        <is>
          <t>CSR 96</t>
        </is>
      </c>
      <c r="B104" s="81" t="inlineStr">
        <is>
          <t>North Africa</t>
        </is>
      </c>
      <c r="C104" s="3" t="inlineStr">
        <is>
          <t>Morocco</t>
        </is>
      </c>
      <c r="D104" s="3" t="inlineStr">
        <is>
          <t>Tangier</t>
        </is>
      </c>
      <c r="E104" s="14" t="n"/>
      <c r="F104" s="105" t="n"/>
    </row>
    <row r="105" ht="18.75" customHeight="1">
      <c r="A105" s="55" t="inlineStr">
        <is>
          <t>CSR 97</t>
        </is>
      </c>
      <c r="B105" s="81" t="inlineStr">
        <is>
          <t>North Africa</t>
        </is>
      </c>
      <c r="C105" s="3" t="inlineStr">
        <is>
          <t>Morocco</t>
        </is>
      </c>
      <c r="D105" s="3" t="inlineStr">
        <is>
          <t>Tangier</t>
        </is>
      </c>
      <c r="E105" s="4" t="n"/>
      <c r="F105" s="105" t="n"/>
    </row>
    <row r="106" ht="18.75" customHeight="1">
      <c r="A106" s="55" t="inlineStr">
        <is>
          <t>CSR 98</t>
        </is>
      </c>
      <c r="B106" s="81" t="inlineStr">
        <is>
          <t>North Africa</t>
        </is>
      </c>
      <c r="C106" s="3" t="inlineStr">
        <is>
          <t>Morocco</t>
        </is>
      </c>
      <c r="D106" s="3" t="inlineStr">
        <is>
          <t>Tangier</t>
        </is>
      </c>
      <c r="E106" s="14" t="n"/>
      <c r="F106" s="105" t="n"/>
    </row>
    <row r="107" ht="18.75" customHeight="1">
      <c r="A107" s="55" t="inlineStr">
        <is>
          <t>CSR 99</t>
        </is>
      </c>
      <c r="B107" s="81" t="inlineStr">
        <is>
          <t>North Africa</t>
        </is>
      </c>
      <c r="C107" s="3" t="inlineStr">
        <is>
          <t>Morocco</t>
        </is>
      </c>
      <c r="D107" s="3" t="inlineStr">
        <is>
          <t>Tangier</t>
        </is>
      </c>
      <c r="E107" s="114" t="n"/>
      <c r="F107" s="105" t="n"/>
    </row>
    <row r="108" ht="18.75" customHeight="1">
      <c r="A108" s="55" t="inlineStr">
        <is>
          <t>CSR 100</t>
        </is>
      </c>
      <c r="B108" s="81" t="inlineStr">
        <is>
          <t>North Africa</t>
        </is>
      </c>
      <c r="C108" s="3" t="inlineStr">
        <is>
          <t>Morocco</t>
        </is>
      </c>
      <c r="D108" s="3" t="inlineStr">
        <is>
          <t>Tangier</t>
        </is>
      </c>
      <c r="E108" s="4" t="n"/>
      <c r="F108" s="105" t="n"/>
    </row>
    <row r="109" ht="18.75" customHeight="1">
      <c r="A109" s="55" t="inlineStr">
        <is>
          <t>CSR 101</t>
        </is>
      </c>
      <c r="B109" s="81" t="inlineStr">
        <is>
          <t>North Africa</t>
        </is>
      </c>
      <c r="C109" s="3" t="inlineStr">
        <is>
          <t>Morocco</t>
        </is>
      </c>
      <c r="D109" s="3" t="inlineStr">
        <is>
          <t>Kenitra</t>
        </is>
      </c>
      <c r="E109" s="33" t="n"/>
      <c r="F109" s="105" t="n"/>
    </row>
    <row r="110" ht="18.75" customHeight="1">
      <c r="A110" s="55" t="inlineStr">
        <is>
          <t>CSR 102</t>
        </is>
      </c>
      <c r="B110" s="81" t="inlineStr">
        <is>
          <t>North Africa</t>
        </is>
      </c>
      <c r="C110" s="3" t="inlineStr">
        <is>
          <t>Morocco</t>
        </is>
      </c>
      <c r="D110" s="3" t="inlineStr">
        <is>
          <t>Kenitra</t>
        </is>
      </c>
      <c r="E110" s="14" t="n"/>
      <c r="F110" s="105" t="n"/>
    </row>
    <row r="111" ht="18.75" customHeight="1">
      <c r="A111" s="55" t="inlineStr">
        <is>
          <t>CSR 103</t>
        </is>
      </c>
      <c r="B111" s="81" t="inlineStr">
        <is>
          <t>North Africa</t>
        </is>
      </c>
      <c r="C111" s="3" t="inlineStr">
        <is>
          <t>Morocco</t>
        </is>
      </c>
      <c r="D111" s="3" t="inlineStr">
        <is>
          <t>Kenitra</t>
        </is>
      </c>
      <c r="E111" s="14" t="n"/>
      <c r="F111" s="105" t="n"/>
    </row>
    <row r="112" ht="18.75" customHeight="1">
      <c r="A112" s="55" t="inlineStr">
        <is>
          <t>CSR 104</t>
        </is>
      </c>
      <c r="B112" s="81" t="inlineStr">
        <is>
          <t>North Africa</t>
        </is>
      </c>
      <c r="C112" s="3" t="inlineStr">
        <is>
          <t>Morocco</t>
        </is>
      </c>
      <c r="D112" s="3" t="inlineStr">
        <is>
          <t>Kenitra</t>
        </is>
      </c>
      <c r="E112" s="3" t="n"/>
      <c r="F112" s="105" t="n"/>
    </row>
    <row r="113" ht="18.75" customHeight="1">
      <c r="A113" s="55" t="inlineStr">
        <is>
          <t>CSR 105</t>
        </is>
      </c>
      <c r="B113" s="81" t="inlineStr">
        <is>
          <t>North Africa</t>
        </is>
      </c>
      <c r="C113" s="3" t="inlineStr">
        <is>
          <t>Morocco</t>
        </is>
      </c>
      <c r="D113" s="3" t="inlineStr">
        <is>
          <t>Kenitra</t>
        </is>
      </c>
      <c r="E113" s="114" t="n"/>
      <c r="F113" s="105" t="n"/>
    </row>
    <row r="114" ht="18.75" customHeight="1">
      <c r="A114" s="55" t="inlineStr">
        <is>
          <t>CSR 106</t>
        </is>
      </c>
      <c r="B114" s="81" t="inlineStr">
        <is>
          <t>North Africa</t>
        </is>
      </c>
      <c r="C114" s="3" t="inlineStr">
        <is>
          <t>Morocco</t>
        </is>
      </c>
      <c r="D114" s="3" t="inlineStr">
        <is>
          <t>Kenitra</t>
        </is>
      </c>
      <c r="E114" s="114" t="n"/>
      <c r="F114" s="105" t="n"/>
    </row>
    <row r="115" ht="18.75" customHeight="1">
      <c r="A115" s="55" t="inlineStr">
        <is>
          <t>CSR 107</t>
        </is>
      </c>
      <c r="B115" s="81" t="inlineStr">
        <is>
          <t>North Africa</t>
        </is>
      </c>
      <c r="C115" s="3" t="inlineStr">
        <is>
          <t>Morocco</t>
        </is>
      </c>
      <c r="D115" s="3" t="inlineStr">
        <is>
          <t>Kenitra</t>
        </is>
      </c>
      <c r="E115" s="114" t="n"/>
      <c r="F115" s="105" t="n"/>
    </row>
    <row r="116" ht="18.75" customHeight="1">
      <c r="A116" s="55" t="inlineStr">
        <is>
          <t>CSR 108</t>
        </is>
      </c>
      <c r="B116" s="84" t="inlineStr">
        <is>
          <t>North Africa</t>
        </is>
      </c>
      <c r="C116" s="79" t="inlineStr">
        <is>
          <t>Morocco</t>
        </is>
      </c>
      <c r="D116" s="3" t="inlineStr">
        <is>
          <t>Kenitra</t>
        </is>
      </c>
      <c r="E116" s="52" t="n"/>
      <c r="F116" s="105" t="n"/>
    </row>
    <row r="117" ht="18.75" customHeight="1">
      <c r="A117" s="2" t="n"/>
      <c r="B117" s="81" t="n"/>
      <c r="C117" s="81" t="n"/>
      <c r="D117" s="3" t="n"/>
      <c r="E117" s="114" t="n"/>
      <c r="F117" s="105" t="n"/>
    </row>
  </sheetData>
  <autoFilter ref="A1:F2"/>
  <mergeCells count="24">
    <mergeCell ref="F44:F45"/>
    <mergeCell ref="F40:F41"/>
    <mergeCell ref="A48:A49"/>
    <mergeCell ref="E48:E49"/>
    <mergeCell ref="E42:E43"/>
    <mergeCell ref="C1:C2"/>
    <mergeCell ref="E1:E2"/>
    <mergeCell ref="E44:E45"/>
    <mergeCell ref="E38:E39"/>
    <mergeCell ref="F42:F43"/>
    <mergeCell ref="A46:A47"/>
    <mergeCell ref="B1:B2"/>
    <mergeCell ref="E46:E47"/>
    <mergeCell ref="E40:E41"/>
    <mergeCell ref="A42:A43"/>
    <mergeCell ref="F38:F39"/>
    <mergeCell ref="F46:F47"/>
    <mergeCell ref="A44:A45"/>
    <mergeCell ref="F48:F49"/>
    <mergeCell ref="A38:A39"/>
    <mergeCell ref="D1:D2"/>
    <mergeCell ref="F1:F2"/>
    <mergeCell ref="A40:A41"/>
    <mergeCell ref="A1:A2"/>
  </mergeCells>
  <hyperlinks>
    <hyperlink xmlns:r="http://schemas.openxmlformats.org/officeDocument/2006/relationships" ref="F1" display="Slide Number in PPT" r:id="rId1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B7"/>
  <sheetViews>
    <sheetView workbookViewId="0">
      <selection activeCell="C7" sqref="C7"/>
    </sheetView>
  </sheetViews>
  <sheetFormatPr baseColWidth="10" defaultRowHeight="15"/>
  <cols>
    <col width="15" bestFit="1" customWidth="1" min="1" max="1"/>
    <col width="11.140625" bestFit="1" customWidth="1" min="2" max="2"/>
    <col width="20.85546875" bestFit="1" customWidth="1" min="3" max="3"/>
    <col width="18.28515625" bestFit="1" customWidth="1" min="4" max="4"/>
    <col width="3" bestFit="1" customWidth="1" min="5" max="9"/>
    <col width="4" bestFit="1" customWidth="1" min="10" max="26"/>
    <col width="5" bestFit="1" customWidth="1" min="27" max="61"/>
    <col width="6" bestFit="1" customWidth="1" min="62" max="63"/>
    <col width="6.28515625" bestFit="1" customWidth="1" min="64" max="64"/>
    <col width="14.28515625" bestFit="1" customWidth="1" min="65" max="83"/>
  </cols>
  <sheetData>
    <row r="5">
      <c r="A5" s="74" t="inlineStr">
        <is>
          <t>country</t>
        </is>
      </c>
      <c r="B5" s="74" t="inlineStr">
        <is>
          <t>Category</t>
        </is>
      </c>
    </row>
    <row r="6">
      <c r="A6" t="inlineStr">
        <is>
          <t>Romania</t>
        </is>
      </c>
    </row>
    <row r="7">
      <c r="A7" t="inlineStr">
        <is>
          <t>Serbia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C19"/>
  <sheetViews>
    <sheetView workbookViewId="0">
      <selection activeCell="B15" sqref="B15"/>
    </sheetView>
  </sheetViews>
  <sheetFormatPr baseColWidth="10" defaultRowHeight="15"/>
  <cols>
    <col width="10" bestFit="1" customWidth="1" min="1" max="1"/>
    <col width="12.42578125" bestFit="1" customWidth="1" min="2" max="2"/>
    <col width="36.7109375" bestFit="1" customWidth="1" min="3" max="6"/>
  </cols>
  <sheetData>
    <row r="3">
      <c r="A3" s="74" t="inlineStr">
        <is>
          <t>country</t>
        </is>
      </c>
      <c r="B3" s="74" t="inlineStr">
        <is>
          <t>Plant</t>
        </is>
      </c>
      <c r="C3" t="inlineStr">
        <is>
          <t>Somme de Number of External Partners</t>
        </is>
      </c>
    </row>
    <row r="4">
      <c r="A4" t="inlineStr">
        <is>
          <t>China</t>
        </is>
      </c>
      <c r="B4" t="inlineStr">
        <is>
          <t>Tianjin</t>
        </is>
      </c>
    </row>
    <row r="5">
      <c r="A5" t="inlineStr">
        <is>
          <t>China</t>
        </is>
      </c>
      <c r="B5" t="inlineStr">
        <is>
          <t>Tianjin 2</t>
        </is>
      </c>
    </row>
    <row r="6">
      <c r="A6" t="inlineStr">
        <is>
          <t>Mexico</t>
        </is>
      </c>
      <c r="B6" t="inlineStr">
        <is>
          <t>Durrango</t>
        </is>
      </c>
    </row>
    <row r="7">
      <c r="A7" t="inlineStr">
        <is>
          <t>Mexico</t>
        </is>
      </c>
      <c r="B7" t="inlineStr">
        <is>
          <t>Honduras</t>
        </is>
      </c>
    </row>
    <row r="8">
      <c r="A8" t="inlineStr">
        <is>
          <t>Mexico</t>
        </is>
      </c>
      <c r="B8" t="inlineStr">
        <is>
          <t>Juarez</t>
        </is>
      </c>
    </row>
    <row r="9">
      <c r="A9" t="inlineStr">
        <is>
          <t>Mexico</t>
        </is>
      </c>
      <c r="B9" t="inlineStr">
        <is>
          <t>Léon</t>
        </is>
      </c>
    </row>
    <row r="10">
      <c r="A10" t="inlineStr">
        <is>
          <t>Morocco</t>
        </is>
      </c>
      <c r="B10" t="inlineStr">
        <is>
          <t>Kenitra</t>
        </is>
      </c>
    </row>
    <row r="11">
      <c r="A11" t="inlineStr">
        <is>
          <t>Morocco</t>
        </is>
      </c>
      <c r="B11" t="inlineStr">
        <is>
          <t>Tangier</t>
        </is>
      </c>
    </row>
    <row r="12">
      <c r="A12" t="inlineStr">
        <is>
          <t>Portugal</t>
        </is>
      </c>
      <c r="B12" t="inlineStr">
        <is>
          <t>Guarda</t>
        </is>
      </c>
    </row>
    <row r="13">
      <c r="A13" t="inlineStr">
        <is>
          <t>Portugal</t>
        </is>
      </c>
      <c r="B13" t="inlineStr">
        <is>
          <t>Guarda 2</t>
        </is>
      </c>
    </row>
    <row r="14">
      <c r="A14" t="inlineStr">
        <is>
          <t>Romania</t>
        </is>
      </c>
      <c r="B14" t="inlineStr">
        <is>
          <t>Ploeisti</t>
        </is>
      </c>
      <c r="C14" t="n">
        <v>1</v>
      </c>
    </row>
    <row r="15">
      <c r="A15" t="inlineStr">
        <is>
          <t>Romania</t>
        </is>
      </c>
      <c r="B15" t="inlineStr">
        <is>
          <t>Romania</t>
        </is>
      </c>
    </row>
    <row r="16">
      <c r="A16" t="inlineStr">
        <is>
          <t>Serbia</t>
        </is>
      </c>
      <c r="B16" t="inlineStr">
        <is>
          <t>Serbia</t>
        </is>
      </c>
      <c r="C16" t="n">
        <v>12</v>
      </c>
    </row>
    <row r="17">
      <c r="A17" t="inlineStr">
        <is>
          <t>Tunisia</t>
        </is>
      </c>
      <c r="B17" t="inlineStr">
        <is>
          <t>Mdjez el beb</t>
        </is>
      </c>
    </row>
    <row r="18">
      <c r="A18" t="inlineStr">
        <is>
          <t>Tunisia</t>
        </is>
      </c>
      <c r="B18" t="inlineStr">
        <is>
          <t>Tunis</t>
        </is>
      </c>
    </row>
    <row r="19">
      <c r="A19" t="inlineStr">
        <is>
          <t>(vide)</t>
        </is>
      </c>
      <c r="B19" t="inlineStr">
        <is>
          <t>(vide)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zoomScale="86" zoomScaleNormal="86" workbookViewId="0">
      <selection activeCell="P22" sqref="P22"/>
    </sheetView>
  </sheetViews>
  <sheetFormatPr baseColWidth="10" defaultRowHeight="15"/>
  <cols>
    <col width="9.140625" customWidth="1" min="2" max="2"/>
    <col width="16.42578125" customWidth="1" min="3" max="3"/>
    <col width="13" customWidth="1" min="4" max="4"/>
    <col width="32.28515625" customWidth="1" min="5" max="5"/>
    <col width="20.7109375" customWidth="1" min="6" max="6"/>
    <col width="19.7109375" customWidth="1" min="11" max="11"/>
    <col width="16.42578125" customWidth="1" min="14" max="14"/>
    <col width="24.5703125" customWidth="1" min="15" max="15"/>
  </cols>
  <sheetData>
    <row r="1" ht="45" customHeight="1">
      <c r="A1" s="1" t="inlineStr">
        <is>
          <t>Activity N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Plant</t>
        </is>
      </c>
      <c r="E1" s="1" t="inlineStr">
        <is>
          <t>Activity Title/ description</t>
        </is>
      </c>
      <c r="F1" s="1" t="inlineStr">
        <is>
          <t>Category</t>
        </is>
      </c>
      <c r="G1" s="1" t="inlineStr">
        <is>
          <t>Year</t>
        </is>
      </c>
      <c r="H1" s="1" t="inlineStr">
        <is>
          <t>Start year</t>
        </is>
      </c>
      <c r="I1" s="1" t="inlineStr">
        <is>
          <t>edition</t>
        </is>
      </c>
      <c r="J1" s="1" t="inlineStr">
        <is>
          <t>Nbr of internal Participants</t>
        </is>
      </c>
      <c r="K1" s="1" t="inlineStr">
        <is>
          <t xml:space="preserve">Percentage out of all the employees % </t>
        </is>
      </c>
      <c r="L1" s="1" t="n"/>
      <c r="M1" s="1" t="inlineStr">
        <is>
          <t>Budget in €</t>
        </is>
      </c>
      <c r="N1" s="1" t="inlineStr">
        <is>
          <t>Organizer</t>
        </is>
      </c>
      <c r="O1" s="13" t="inlineStr">
        <is>
          <t>External Partner</t>
        </is>
      </c>
    </row>
    <row r="2" ht="75" customHeight="1">
      <c r="A2" s="2" t="inlineStr">
        <is>
          <t>CSR 1</t>
        </is>
      </c>
      <c r="B2" s="81" t="inlineStr">
        <is>
          <t>EE</t>
        </is>
      </c>
      <c r="C2" s="84" t="inlineStr">
        <is>
          <t>Serbia</t>
        </is>
      </c>
      <c r="D2" s="81" t="inlineStr">
        <is>
          <t>Serbia</t>
        </is>
      </c>
      <c r="E2" s="12" t="inlineStr">
        <is>
          <t>Visit to High Technical School Pećinci</t>
        </is>
      </c>
      <c r="F2" s="4" t="inlineStr">
        <is>
          <t>Education</t>
        </is>
      </c>
      <c r="G2" s="37" t="n">
        <v>2022</v>
      </c>
      <c r="H2" s="5" t="n">
        <v>2022</v>
      </c>
      <c r="I2" s="5" t="n">
        <v>1</v>
      </c>
      <c r="J2" s="5" t="n">
        <v>5</v>
      </c>
      <c r="K2" s="6" t="inlineStr">
        <is>
          <t>NA</t>
        </is>
      </c>
      <c r="L2" s="6" t="n"/>
      <c r="M2" s="5" t="n">
        <v>300</v>
      </c>
      <c r="N2" s="5" t="inlineStr">
        <is>
          <t>HR/Plant Manager</t>
        </is>
      </c>
      <c r="O2" s="4" t="inlineStr">
        <is>
          <t>High Technical School Pećinci</t>
        </is>
      </c>
    </row>
    <row r="3" ht="75" customHeight="1">
      <c r="A3" s="2" t="inlineStr">
        <is>
          <t>CSR 2</t>
        </is>
      </c>
      <c r="B3" s="129" t="n"/>
      <c r="C3" s="129" t="n"/>
      <c r="D3" s="129" t="n"/>
      <c r="E3" s="12" t="inlineStr">
        <is>
          <t>Donation to School for children with disabilities</t>
        </is>
      </c>
      <c r="F3" s="4" t="inlineStr">
        <is>
          <t>Education</t>
        </is>
      </c>
      <c r="G3" s="39" t="n"/>
      <c r="H3" s="5" t="n">
        <v>2022</v>
      </c>
      <c r="I3" s="5" t="n">
        <v>1</v>
      </c>
      <c r="J3" s="5" t="n">
        <v>2</v>
      </c>
      <c r="K3" s="6" t="inlineStr">
        <is>
          <t>NA</t>
        </is>
      </c>
      <c r="L3" s="6" t="n"/>
      <c r="M3" s="5" t="n">
        <v>458</v>
      </c>
      <c r="N3" s="5" t="inlineStr">
        <is>
          <t>HR/Plant Manager</t>
        </is>
      </c>
      <c r="O3" s="4" t="inlineStr">
        <is>
          <t xml:space="preserve">school for primary and secondary education </t>
        </is>
      </c>
    </row>
    <row r="4" ht="60" customHeight="1">
      <c r="A4" s="2" t="inlineStr">
        <is>
          <t>CSR 3</t>
        </is>
      </c>
      <c r="B4" s="129" t="n"/>
      <c r="C4" s="129" t="n"/>
      <c r="D4" s="129" t="n"/>
      <c r="E4" s="12" t="inlineStr">
        <is>
          <t>Donation /Football club Donji Tovarnik</t>
        </is>
      </c>
      <c r="F4" s="4" t="inlineStr">
        <is>
          <t>Sports</t>
        </is>
      </c>
      <c r="G4" s="39" t="n"/>
      <c r="H4" s="5" t="n">
        <v>2012</v>
      </c>
      <c r="I4" s="5" t="n">
        <v>10</v>
      </c>
      <c r="J4" s="5" t="n">
        <v>10</v>
      </c>
      <c r="K4" s="6" t="inlineStr">
        <is>
          <t>NA</t>
        </is>
      </c>
      <c r="L4" s="6" t="n"/>
      <c r="M4" s="5" t="n">
        <v>80</v>
      </c>
      <c r="N4" s="5" t="inlineStr">
        <is>
          <t>HR/Regional Director</t>
        </is>
      </c>
      <c r="O4" s="4" t="inlineStr">
        <is>
          <t>Local Football Club</t>
        </is>
      </c>
    </row>
    <row r="5" ht="75" customHeight="1">
      <c r="A5" s="2" t="inlineStr">
        <is>
          <t>CSR 4</t>
        </is>
      </c>
      <c r="B5" s="129" t="n"/>
      <c r="C5" s="129" t="n"/>
      <c r="D5" s="129" t="n"/>
      <c r="E5" s="3" t="inlineStr">
        <is>
          <t>Donation/ School in Petrovčić</t>
        </is>
      </c>
      <c r="F5" s="4" t="inlineStr">
        <is>
          <t>Education</t>
        </is>
      </c>
      <c r="G5" s="39" t="n"/>
      <c r="H5" s="5" t="n">
        <v>2022</v>
      </c>
      <c r="I5" s="5" t="n">
        <v>1</v>
      </c>
      <c r="J5" s="5" t="n">
        <v>15</v>
      </c>
      <c r="K5" s="5" t="inlineStr">
        <is>
          <t>NA</t>
        </is>
      </c>
      <c r="L5" s="5" t="n"/>
      <c r="M5" s="5" t="n">
        <v>412</v>
      </c>
      <c r="N5" s="5" t="inlineStr">
        <is>
          <t>HR/EHS</t>
        </is>
      </c>
      <c r="O5" s="4" t="inlineStr">
        <is>
          <t>Elementary School “Dušan Vukasović Diogen</t>
        </is>
      </c>
    </row>
    <row r="6" ht="30" customHeight="1">
      <c r="A6" s="2" t="inlineStr">
        <is>
          <t>CSR 5</t>
        </is>
      </c>
      <c r="B6" s="129" t="n"/>
      <c r="C6" s="129" t="n"/>
      <c r="D6" s="129" t="n"/>
      <c r="E6" s="17" t="inlineStr">
        <is>
          <t>Visit to Kragujevac</t>
        </is>
      </c>
      <c r="F6" s="18" t="inlineStr">
        <is>
          <t>Others</t>
        </is>
      </c>
      <c r="G6" s="39" t="n"/>
      <c r="H6" s="15" t="n">
        <v>2022</v>
      </c>
      <c r="I6" s="15" t="n">
        <v>1</v>
      </c>
      <c r="J6" s="15" t="n">
        <v>3</v>
      </c>
      <c r="K6" s="15" t="inlineStr">
        <is>
          <t>NA</t>
        </is>
      </c>
      <c r="L6" s="15" t="n"/>
      <c r="M6" s="15" t="n">
        <v>100</v>
      </c>
      <c r="N6" s="15" t="inlineStr">
        <is>
          <t>HR</t>
        </is>
      </c>
      <c r="O6" s="16" t="inlineStr">
        <is>
          <t>City of Kragujevac</t>
        </is>
      </c>
    </row>
    <row r="7" ht="105" customHeight="1">
      <c r="A7" s="2" t="inlineStr">
        <is>
          <t>CSR 6</t>
        </is>
      </c>
      <c r="B7" s="129" t="n"/>
      <c r="C7" s="129" t="n"/>
      <c r="D7" s="116" t="n"/>
      <c r="E7" s="12" t="inlineStr">
        <is>
          <t>Donation of trees for the Technical School in Stara Pazova</t>
        </is>
      </c>
      <c r="F7" s="4" t="inlineStr">
        <is>
          <t>Environment</t>
        </is>
      </c>
      <c r="G7" s="39" t="n"/>
      <c r="H7" s="5" t="n">
        <v>2022</v>
      </c>
      <c r="I7" s="5" t="n">
        <v>1</v>
      </c>
      <c r="J7" s="5" t="n">
        <v>20</v>
      </c>
      <c r="K7" s="5" t="inlineStr">
        <is>
          <t>NA</t>
        </is>
      </c>
      <c r="L7" s="5" t="n"/>
      <c r="M7" s="5" t="n">
        <v>315</v>
      </c>
      <c r="N7" s="5" t="inlineStr">
        <is>
          <t>HR</t>
        </is>
      </c>
      <c r="O7" s="4" t="inlineStr">
        <is>
          <t>Association "Šuma Peva" / Local School</t>
        </is>
      </c>
    </row>
    <row r="8">
      <c r="A8" s="2" t="inlineStr">
        <is>
          <t>CSR 7</t>
        </is>
      </c>
      <c r="B8" s="129" t="n"/>
      <c r="C8" s="81" t="inlineStr">
        <is>
          <t>Romania</t>
        </is>
      </c>
      <c r="D8" s="81" t="inlineStr">
        <is>
          <t>Ploiesti</t>
        </is>
      </c>
      <c r="E8" s="17" t="inlineStr">
        <is>
          <t xml:space="preserve">Celebrating Women’s Day </t>
        </is>
      </c>
      <c r="F8" s="18" t="inlineStr">
        <is>
          <t>Others</t>
        </is>
      </c>
      <c r="G8" s="39" t="n"/>
      <c r="H8" s="15" t="n">
        <v>2017</v>
      </c>
      <c r="I8" s="15" t="n">
        <v>6</v>
      </c>
      <c r="J8" s="15" t="n">
        <v>85</v>
      </c>
      <c r="K8" s="20" t="n">
        <v>0.28</v>
      </c>
      <c r="L8" s="20" t="n"/>
      <c r="M8" s="15" t="n">
        <v>2594</v>
      </c>
      <c r="N8" s="15" t="inlineStr">
        <is>
          <t>HR</t>
        </is>
      </c>
      <c r="O8" s="19" t="inlineStr">
        <is>
          <t>Internal</t>
        </is>
      </c>
    </row>
    <row r="9">
      <c r="A9" s="2" t="inlineStr">
        <is>
          <t>CSR 8</t>
        </is>
      </c>
      <c r="B9" s="129" t="n"/>
      <c r="C9" s="129" t="n"/>
      <c r="D9" s="129" t="n"/>
      <c r="E9" s="17" t="inlineStr">
        <is>
          <t>Family Day Celebration</t>
        </is>
      </c>
      <c r="F9" s="18" t="inlineStr">
        <is>
          <t>Others</t>
        </is>
      </c>
      <c r="G9" s="39" t="n"/>
      <c r="H9" s="15" t="n">
        <v>2014</v>
      </c>
      <c r="I9" s="15" t="n">
        <v>8</v>
      </c>
      <c r="J9" s="15" t="n">
        <v>300</v>
      </c>
      <c r="K9" s="20" t="n">
        <v>1</v>
      </c>
      <c r="L9" s="20" t="n"/>
      <c r="M9" s="15" t="n">
        <v>8000</v>
      </c>
      <c r="N9" s="15" t="inlineStr">
        <is>
          <t>HR</t>
        </is>
      </c>
      <c r="O9" s="19" t="inlineStr">
        <is>
          <t>Internal</t>
        </is>
      </c>
    </row>
    <row r="10">
      <c r="A10" s="2" t="inlineStr">
        <is>
          <t>CSR 9</t>
        </is>
      </c>
      <c r="B10" s="129" t="n"/>
      <c r="C10" s="129" t="n"/>
      <c r="D10" s="129" t="n"/>
      <c r="E10" s="17" t="inlineStr">
        <is>
          <t>IE Day</t>
        </is>
      </c>
      <c r="F10" s="18" t="inlineStr">
        <is>
          <t>Others</t>
        </is>
      </c>
      <c r="G10" s="39" t="n"/>
      <c r="H10" s="15" t="n">
        <v>2020</v>
      </c>
      <c r="I10" s="15" t="n">
        <v>2</v>
      </c>
      <c r="J10" s="15" t="n">
        <v>12</v>
      </c>
      <c r="K10" s="23" t="n">
        <v>0.04</v>
      </c>
      <c r="L10" s="23" t="n"/>
      <c r="M10" s="15" t="n">
        <v>0</v>
      </c>
      <c r="N10" s="15" t="inlineStr">
        <is>
          <t>HR</t>
        </is>
      </c>
      <c r="O10" s="19" t="inlineStr">
        <is>
          <t>Internal</t>
        </is>
      </c>
    </row>
    <row r="11" ht="60" customHeight="1">
      <c r="A11" s="2" t="inlineStr">
        <is>
          <t>CSR 10</t>
        </is>
      </c>
      <c r="B11" s="129" t="n"/>
      <c r="C11" s="129" t="n"/>
      <c r="D11" s="129" t="n"/>
      <c r="E11" s="12" t="inlineStr">
        <is>
          <t xml:space="preserve">Financial Support for Coficab employees </t>
        </is>
      </c>
      <c r="F11" s="4" t="inlineStr">
        <is>
          <t>Charity</t>
        </is>
      </c>
      <c r="G11" s="39" t="n"/>
      <c r="H11" s="5" t="n">
        <v>2014</v>
      </c>
      <c r="I11" s="5" t="n">
        <v>8</v>
      </c>
      <c r="J11" s="5" t="n">
        <v>1</v>
      </c>
      <c r="K11" s="21" t="n">
        <v>0.34</v>
      </c>
      <c r="L11" s="21" t="n"/>
      <c r="M11" s="5" t="n">
        <v>1000</v>
      </c>
      <c r="N11" s="5" t="inlineStr">
        <is>
          <t>HR</t>
        </is>
      </c>
      <c r="O11" s="22" t="inlineStr">
        <is>
          <t>Internal</t>
        </is>
      </c>
    </row>
    <row r="12">
      <c r="A12" s="2" t="inlineStr">
        <is>
          <t>CSR 11</t>
        </is>
      </c>
      <c r="B12" s="129" t="n"/>
      <c r="C12" s="129" t="n"/>
      <c r="D12" s="129" t="n"/>
      <c r="E12" s="17" t="inlineStr">
        <is>
          <t>Christmas tree decoration</t>
        </is>
      </c>
      <c r="F12" s="18" t="inlineStr">
        <is>
          <t>Others</t>
        </is>
      </c>
      <c r="G12" s="39" t="n"/>
      <c r="H12" s="15" t="n">
        <v>2014</v>
      </c>
      <c r="I12" s="15" t="n">
        <v>8</v>
      </c>
      <c r="J12" s="15" t="n">
        <v>12</v>
      </c>
      <c r="K12" s="20" t="n">
        <v>0.04</v>
      </c>
      <c r="L12" s="20" t="n"/>
      <c r="M12" s="15" t="n">
        <v>0</v>
      </c>
      <c r="N12" s="15" t="inlineStr">
        <is>
          <t>HR</t>
        </is>
      </c>
      <c r="O12" s="17" t="inlineStr">
        <is>
          <t>Internal</t>
        </is>
      </c>
    </row>
    <row r="13">
      <c r="A13" s="2" t="inlineStr">
        <is>
          <t>CSR 12</t>
        </is>
      </c>
      <c r="B13" s="129" t="n"/>
      <c r="C13" s="129" t="n"/>
      <c r="D13" s="129" t="n"/>
      <c r="E13" s="17" t="inlineStr">
        <is>
          <t>Christmas Party</t>
        </is>
      </c>
      <c r="F13" s="18" t="inlineStr">
        <is>
          <t>Others</t>
        </is>
      </c>
      <c r="G13" s="39" t="n"/>
      <c r="H13" s="15" t="n">
        <v>2014</v>
      </c>
      <c r="I13" s="15" t="n">
        <v>8</v>
      </c>
      <c r="J13" s="15" t="n">
        <v>240</v>
      </c>
      <c r="K13" s="20" t="n">
        <v>0.78</v>
      </c>
      <c r="L13" s="20" t="n"/>
      <c r="M13" s="15" t="n">
        <v>11000</v>
      </c>
      <c r="N13" s="15" t="inlineStr">
        <is>
          <t>HR</t>
        </is>
      </c>
      <c r="O13" s="17" t="inlineStr">
        <is>
          <t>Internal</t>
        </is>
      </c>
    </row>
    <row r="14">
      <c r="A14" s="2" t="inlineStr">
        <is>
          <t>CSR 13</t>
        </is>
      </c>
      <c r="B14" s="129" t="n"/>
      <c r="C14" s="129" t="n"/>
      <c r="D14" s="116" t="n"/>
      <c r="E14" s="17" t="inlineStr">
        <is>
          <t>Wellbeing_ Sports Day_ Football</t>
        </is>
      </c>
      <c r="F14" s="18" t="inlineStr">
        <is>
          <t>Sports</t>
        </is>
      </c>
      <c r="G14" s="39" t="n"/>
      <c r="H14" s="15" t="n">
        <v>2017</v>
      </c>
      <c r="I14" s="15" t="n">
        <v>6</v>
      </c>
      <c r="J14" s="15" t="n">
        <v>12</v>
      </c>
      <c r="K14" s="20" t="n">
        <v>0.04</v>
      </c>
      <c r="L14" s="20" t="n"/>
      <c r="M14" s="15" t="n">
        <v>760</v>
      </c>
      <c r="N14" s="15" t="inlineStr">
        <is>
          <t>HR</t>
        </is>
      </c>
      <c r="O14" s="17" t="inlineStr">
        <is>
          <t>Internal</t>
        </is>
      </c>
    </row>
    <row r="15">
      <c r="A15" s="2" t="inlineStr">
        <is>
          <t>CSR 14</t>
        </is>
      </c>
      <c r="B15" s="129" t="n"/>
      <c r="C15" s="129" t="n"/>
      <c r="D15" s="81" t="inlineStr">
        <is>
          <t>Romania</t>
        </is>
      </c>
      <c r="E15" s="17" t="inlineStr">
        <is>
          <t xml:space="preserve">Martisor and Woman's Day </t>
        </is>
      </c>
      <c r="F15" s="18" t="inlineStr">
        <is>
          <t>Others</t>
        </is>
      </c>
      <c r="G15" s="39" t="n"/>
      <c r="H15" s="15" t="n">
        <v>2017</v>
      </c>
      <c r="I15" s="15" t="n">
        <v>6</v>
      </c>
      <c r="J15" s="15" t="n">
        <v>76</v>
      </c>
      <c r="K15" s="20" t="n">
        <v>0.24</v>
      </c>
      <c r="L15" s="20" t="n"/>
      <c r="M15" s="15" t="n">
        <v>2482</v>
      </c>
      <c r="N15" s="15" t="inlineStr">
        <is>
          <t>HR</t>
        </is>
      </c>
      <c r="O15" s="17" t="inlineStr">
        <is>
          <t>Internal</t>
        </is>
      </c>
    </row>
    <row r="16">
      <c r="A16" s="2" t="inlineStr">
        <is>
          <t>CSR 15</t>
        </is>
      </c>
      <c r="B16" s="129" t="n"/>
      <c r="C16" s="129" t="n"/>
      <c r="D16" s="129" t="n"/>
      <c r="E16" s="17" t="inlineStr">
        <is>
          <t xml:space="preserve">Family day </t>
        </is>
      </c>
      <c r="F16" s="18" t="inlineStr">
        <is>
          <t>Others</t>
        </is>
      </c>
      <c r="G16" s="39" t="n"/>
      <c r="H16" s="15" t="n">
        <v>2014</v>
      </c>
      <c r="I16" s="15" t="n">
        <v>8</v>
      </c>
      <c r="J16" s="15" t="n">
        <v>278</v>
      </c>
      <c r="K16" s="20" t="n">
        <v>0.89</v>
      </c>
      <c r="L16" s="20" t="n"/>
      <c r="M16" s="15" t="n">
        <v>10000</v>
      </c>
      <c r="N16" s="15" t="inlineStr">
        <is>
          <t>HR</t>
        </is>
      </c>
      <c r="O16" s="17" t="inlineStr">
        <is>
          <t>Internal</t>
        </is>
      </c>
    </row>
    <row r="17">
      <c r="A17" s="2" t="inlineStr">
        <is>
          <t>CSR 16</t>
        </is>
      </c>
      <c r="B17" s="129" t="n"/>
      <c r="C17" s="129" t="n"/>
      <c r="D17" s="129" t="n"/>
      <c r="E17" s="17" t="inlineStr">
        <is>
          <t>IE Day</t>
        </is>
      </c>
      <c r="F17" s="18" t="inlineStr">
        <is>
          <t>Others</t>
        </is>
      </c>
      <c r="G17" s="39" t="n"/>
      <c r="H17" s="15" t="n">
        <v>2020</v>
      </c>
      <c r="I17" s="15" t="n">
        <v>2</v>
      </c>
      <c r="J17" s="24" t="n">
        <v>50</v>
      </c>
      <c r="K17" s="20" t="n">
        <v>0.16</v>
      </c>
      <c r="L17" s="20" t="n"/>
      <c r="M17" s="15" t="n">
        <v>0</v>
      </c>
      <c r="N17" s="15" t="inlineStr">
        <is>
          <t>HR</t>
        </is>
      </c>
      <c r="O17" s="17" t="inlineStr">
        <is>
          <t>Internal</t>
        </is>
      </c>
    </row>
    <row r="18" ht="75" customHeight="1">
      <c r="A18" s="2" t="inlineStr">
        <is>
          <t>CSR 17</t>
        </is>
      </c>
      <c r="B18" s="129" t="n"/>
      <c r="C18" s="129" t="n"/>
      <c r="D18" s="129" t="n"/>
      <c r="E18" s="3" t="inlineStr">
        <is>
          <t xml:space="preserve">Roca Bruna Hiking  </t>
        </is>
      </c>
      <c r="F18" s="4" t="inlineStr">
        <is>
          <t>Sports</t>
        </is>
      </c>
      <c r="G18" s="39" t="n"/>
      <c r="H18" s="5" t="n">
        <v>2019</v>
      </c>
      <c r="I18" s="5" t="inlineStr">
        <is>
          <t>NA</t>
        </is>
      </c>
      <c r="J18" s="5" t="n">
        <v>10</v>
      </c>
      <c r="K18" s="6" t="inlineStr">
        <is>
          <t>0,04,</t>
        </is>
      </c>
      <c r="L18" s="6" t="n"/>
      <c r="M18" s="5" t="n">
        <v>200</v>
      </c>
      <c r="N18" s="25" t="inlineStr">
        <is>
          <t>HR</t>
        </is>
      </c>
      <c r="O18" s="14" t="inlineStr">
        <is>
          <t>Asociation Clubul Sportiv Ultra Pânǎ La Capǎ</t>
        </is>
      </c>
    </row>
    <row r="19" ht="150" customHeight="1">
      <c r="A19" s="2" t="inlineStr">
        <is>
          <t>CSR 18</t>
        </is>
      </c>
      <c r="B19" s="129" t="n"/>
      <c r="C19" s="129" t="n"/>
      <c r="D19" s="129" t="n"/>
      <c r="E19" s="12" t="inlineStr">
        <is>
          <t xml:space="preserve">World Environment Day: waste collection action </t>
        </is>
      </c>
      <c r="F19" s="4" t="inlineStr">
        <is>
          <t>Environment</t>
        </is>
      </c>
      <c r="G19" s="39" t="n"/>
      <c r="H19" s="5" t="n">
        <v>2015</v>
      </c>
      <c r="I19" s="5" t="n">
        <v>7</v>
      </c>
      <c r="J19" s="5" t="n">
        <v>22</v>
      </c>
      <c r="K19" s="6" t="n">
        <v>0.07000000000000001</v>
      </c>
      <c r="L19" s="6" t="n"/>
      <c r="M19" s="5" t="n">
        <v>800</v>
      </c>
      <c r="N19" s="5" t="inlineStr">
        <is>
          <t>HR</t>
        </is>
      </c>
      <c r="O19" s="12" t="inlineStr">
        <is>
          <t xml:space="preserve">Retim SA, FCC Environment Romania SRL and the Intercommunity Development Association </t>
        </is>
      </c>
    </row>
    <row r="20" ht="90" customHeight="1">
      <c r="A20" s="2" t="inlineStr">
        <is>
          <t>CSR 19</t>
        </is>
      </c>
      <c r="B20" s="129" t="n"/>
      <c r="C20" s="129" t="n"/>
      <c r="D20" s="129" t="n"/>
      <c r="E20" s="3" t="inlineStr">
        <is>
          <t xml:space="preserve">Highschool Prom Sponsorship </t>
        </is>
      </c>
      <c r="F20" s="4" t="inlineStr">
        <is>
          <t>Education</t>
        </is>
      </c>
      <c r="G20" s="39" t="n"/>
      <c r="H20" s="5" t="n">
        <v>2022</v>
      </c>
      <c r="I20" s="5" t="n">
        <v>1</v>
      </c>
      <c r="J20" s="5" t="inlineStr">
        <is>
          <t>NA</t>
        </is>
      </c>
      <c r="K20" s="6" t="inlineStr">
        <is>
          <t>NA</t>
        </is>
      </c>
      <c r="L20" s="6" t="n"/>
      <c r="M20" s="5" t="n">
        <v>300</v>
      </c>
      <c r="N20" s="5" t="inlineStr">
        <is>
          <t>HR</t>
        </is>
      </c>
      <c r="O20" s="14" t="inlineStr">
        <is>
          <t>Adam Muller Guttenbrunn Highschool,  Arad</t>
        </is>
      </c>
    </row>
    <row r="21">
      <c r="A21" s="2" t="inlineStr">
        <is>
          <t>CSR 20</t>
        </is>
      </c>
      <c r="B21" s="116" t="n"/>
      <c r="C21" s="116" t="n"/>
      <c r="D21" s="116" t="n"/>
      <c r="E21" s="17" t="inlineStr">
        <is>
          <t xml:space="preserve">Christmas Party </t>
        </is>
      </c>
      <c r="F21" s="18" t="inlineStr">
        <is>
          <t>Others</t>
        </is>
      </c>
      <c r="G21" s="39" t="n"/>
      <c r="H21" s="15" t="n">
        <v>2009</v>
      </c>
      <c r="I21" s="15" t="n">
        <v>13</v>
      </c>
      <c r="J21" s="15" t="n">
        <v>268</v>
      </c>
      <c r="K21" s="20" t="n">
        <v>0.86</v>
      </c>
      <c r="L21" s="20" t="n"/>
      <c r="M21" s="15" t="n">
        <v>15000</v>
      </c>
      <c r="N21" s="15" t="inlineStr">
        <is>
          <t>HR</t>
        </is>
      </c>
      <c r="O21" s="19" t="inlineStr">
        <is>
          <t>Internal</t>
        </is>
      </c>
    </row>
    <row r="22" ht="75" customHeight="1">
      <c r="A22" s="26" t="inlineStr">
        <is>
          <t>Total</t>
        </is>
      </c>
      <c r="B22" s="81" t="inlineStr">
        <is>
          <t xml:space="preserve">20 CSR actions </t>
        </is>
      </c>
      <c r="C22" s="130" t="n"/>
      <c r="D22" s="28" t="n"/>
      <c r="E22" s="12" t="inlineStr">
        <is>
          <t xml:space="preserve"> 11 Actions: not considered as CSR (1336 participants)
9 CSR Actions (85 participantts)</t>
        </is>
      </c>
      <c r="F22" s="12" t="inlineStr">
        <is>
          <t>Education: 4 actions 
Environment: 2 actions
Charity: 1 action
others: 12 actions</t>
        </is>
      </c>
      <c r="G22" s="38" t="n"/>
      <c r="H22" s="27" t="n"/>
      <c r="I22" s="27" t="n"/>
      <c r="J22" s="29">
        <f>SUM(J2:J21)</f>
        <v/>
      </c>
      <c r="K22" s="30">
        <f>AVERAGE(K8:K19,K21)</f>
        <v/>
      </c>
      <c r="L22" s="30" t="n"/>
      <c r="M22" s="29">
        <f>SUM(M2:M21)</f>
        <v/>
      </c>
      <c r="N22" s="27" t="inlineStr">
        <is>
          <t>HR</t>
        </is>
      </c>
      <c r="O22" s="81" t="inlineStr">
        <is>
          <t>12 External Partners</t>
        </is>
      </c>
    </row>
    <row r="23">
      <c r="J23" s="31" t="n"/>
    </row>
    <row r="26">
      <c r="E26" t="inlineStr">
        <is>
          <t>Education</t>
        </is>
      </c>
      <c r="F26" s="32" t="n">
        <v>0.2</v>
      </c>
    </row>
    <row r="27">
      <c r="E27" t="inlineStr">
        <is>
          <t>Environment</t>
        </is>
      </c>
      <c r="F27" s="32" t="n">
        <v>0.1</v>
      </c>
    </row>
    <row r="28">
      <c r="E28" t="inlineStr">
        <is>
          <t>Charity</t>
        </is>
      </c>
      <c r="F28" s="32" t="n">
        <v>0.05</v>
      </c>
    </row>
    <row r="29">
      <c r="E29" t="inlineStr">
        <is>
          <t>Others</t>
        </is>
      </c>
      <c r="F29" s="32" t="n">
        <v>0.6</v>
      </c>
    </row>
  </sheetData>
  <autoFilter ref="A1:O22"/>
  <mergeCells count="7">
    <mergeCell ref="D15:D21"/>
    <mergeCell ref="C8:C21"/>
    <mergeCell ref="B22:D22"/>
    <mergeCell ref="D8:D14"/>
    <mergeCell ref="D2:D7"/>
    <mergeCell ref="C2:C7"/>
    <mergeCell ref="B2:B2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F10" sqref="F10"/>
    </sheetView>
  </sheetViews>
  <sheetFormatPr baseColWidth="10" defaultRowHeight="15"/>
  <cols>
    <col width="18" customWidth="1" min="2" max="2"/>
    <col width="16" customWidth="1" min="3" max="3"/>
    <col width="14.7109375" customWidth="1" min="4" max="4"/>
    <col width="15.28515625" customWidth="1" min="5" max="5"/>
    <col width="16.85546875" customWidth="1" min="6" max="6"/>
  </cols>
  <sheetData>
    <row r="3">
      <c r="B3" s="7" t="inlineStr">
        <is>
          <t>Region</t>
        </is>
      </c>
      <c r="C3" s="8" t="inlineStr">
        <is>
          <t>Country</t>
        </is>
      </c>
      <c r="D3" s="7" t="inlineStr">
        <is>
          <t>Plant</t>
        </is>
      </c>
      <c r="E3" s="7" t="inlineStr">
        <is>
          <t>Category</t>
        </is>
      </c>
      <c r="F3" s="7" t="inlineStr">
        <is>
          <t>Nature</t>
        </is>
      </c>
    </row>
    <row r="4">
      <c r="B4" s="10" t="inlineStr">
        <is>
          <t>America</t>
        </is>
      </c>
      <c r="C4" s="10" t="inlineStr">
        <is>
          <t>Mexico</t>
        </is>
      </c>
      <c r="D4" s="114" t="inlineStr">
        <is>
          <t>Tunis</t>
        </is>
      </c>
      <c r="E4" s="28" t="inlineStr">
        <is>
          <t>Education</t>
        </is>
      </c>
      <c r="F4" s="114" t="inlineStr">
        <is>
          <t>Charity/Donation</t>
        </is>
      </c>
    </row>
    <row r="5">
      <c r="B5" s="10" t="inlineStr">
        <is>
          <t>western Europe</t>
        </is>
      </c>
      <c r="C5" s="10" t="inlineStr">
        <is>
          <t>Honduras</t>
        </is>
      </c>
      <c r="D5" s="114" t="inlineStr">
        <is>
          <t>Mdjez el beb</t>
        </is>
      </c>
      <c r="E5" s="28" t="inlineStr">
        <is>
          <t>Environment</t>
        </is>
      </c>
      <c r="F5" s="114" t="inlineStr">
        <is>
          <t>Partnership</t>
        </is>
      </c>
    </row>
    <row r="6">
      <c r="B6" s="10" t="inlineStr">
        <is>
          <t>North Africa</t>
        </is>
      </c>
      <c r="C6" s="10" t="inlineStr">
        <is>
          <t>Portugal</t>
        </is>
      </c>
      <c r="D6" s="114" t="inlineStr">
        <is>
          <t>Tangier</t>
        </is>
      </c>
      <c r="E6" s="28" t="inlineStr">
        <is>
          <t>Social</t>
        </is>
      </c>
      <c r="F6" s="114" t="inlineStr">
        <is>
          <t>Sponsorship</t>
        </is>
      </c>
    </row>
    <row r="7">
      <c r="B7" s="10" t="inlineStr">
        <is>
          <t>ASIA</t>
        </is>
      </c>
      <c r="C7" s="10" t="inlineStr">
        <is>
          <t>Morocco</t>
        </is>
      </c>
      <c r="D7" s="114" t="inlineStr">
        <is>
          <t>Kenitra</t>
        </is>
      </c>
      <c r="E7" s="28" t="inlineStr">
        <is>
          <t>Sports</t>
        </is>
      </c>
      <c r="F7" s="114" t="inlineStr">
        <is>
          <t>Others</t>
        </is>
      </c>
    </row>
    <row r="8">
      <c r="B8" s="10" t="inlineStr">
        <is>
          <t>EE</t>
        </is>
      </c>
      <c r="C8" s="10" t="inlineStr">
        <is>
          <t>Tunisia</t>
        </is>
      </c>
      <c r="D8" s="114" t="inlineStr">
        <is>
          <t>Arrad</t>
        </is>
      </c>
      <c r="E8" s="28" t="inlineStr">
        <is>
          <t>Health</t>
        </is>
      </c>
    </row>
    <row r="9">
      <c r="C9" s="10" t="inlineStr">
        <is>
          <t>Serbia</t>
        </is>
      </c>
      <c r="D9" s="114" t="inlineStr">
        <is>
          <t>Ploeisti</t>
        </is>
      </c>
      <c r="E9" s="28" t="inlineStr">
        <is>
          <t>Others</t>
        </is>
      </c>
    </row>
    <row r="10">
      <c r="C10" s="10" t="inlineStr">
        <is>
          <t>Romania</t>
        </is>
      </c>
      <c r="D10" s="114" t="inlineStr">
        <is>
          <t>Serbia</t>
        </is>
      </c>
    </row>
    <row r="11">
      <c r="C11" s="10" t="inlineStr">
        <is>
          <t>China</t>
        </is>
      </c>
      <c r="D11" s="114" t="inlineStr">
        <is>
          <t>Guarda</t>
        </is>
      </c>
    </row>
    <row r="12">
      <c r="D12" s="114" t="inlineStr">
        <is>
          <t>Guarda 2</t>
        </is>
      </c>
    </row>
    <row r="13">
      <c r="D13" s="114" t="inlineStr">
        <is>
          <t>Germany</t>
        </is>
      </c>
    </row>
    <row r="14">
      <c r="D14" s="114" t="inlineStr">
        <is>
          <t>Tianjin</t>
        </is>
      </c>
    </row>
    <row r="15">
      <c r="D15" s="114" t="inlineStr">
        <is>
          <t>Tianjin 2</t>
        </is>
      </c>
    </row>
    <row r="16">
      <c r="D16" s="114" t="inlineStr">
        <is>
          <t>Durrango</t>
        </is>
      </c>
    </row>
    <row r="17">
      <c r="D17" s="114" t="inlineStr">
        <is>
          <t>Juarez</t>
        </is>
      </c>
    </row>
    <row r="18">
      <c r="D18" s="114" t="inlineStr">
        <is>
          <t>Honduras</t>
        </is>
      </c>
    </row>
    <row r="19">
      <c r="D19" s="114" t="inlineStr">
        <is>
          <t>Léon</t>
        </is>
      </c>
    </row>
    <row r="20">
      <c r="D20" s="114" t="inlineStr">
        <is>
          <t>Monterrey</t>
        </is>
      </c>
    </row>
  </sheetData>
  <dataValidations count="1">
    <dataValidation sqref="B4:B8" showDropDown="0" showInputMessage="1" showErrorMessage="1" allowBlank="1" type="list">
      <formula1>$B$4:$B$8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Oumaima CHAAOURI</dc:creator>
  <dcterms:created xmlns:dcterms="http://purl.org/dc/terms/" xmlns:xsi="http://www.w3.org/2001/XMLSchema-instance" xsi:type="dcterms:W3CDTF">2023-01-10T13:28:11Z</dcterms:created>
  <dcterms:modified xmlns:dcterms="http://purl.org/dc/terms/" xmlns:xsi="http://www.w3.org/2001/XMLSchema-instance" xsi:type="dcterms:W3CDTF">2026-03-03T23:37:37Z</dcterms:modified>
  <cp:lastModifiedBy>Oumaima CHAAOURI</cp:lastModifiedBy>
</cp:coreProperties>
</file>
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halil/Downloads/"/>
    </mc:Choice>
  </mc:AlternateContent>
  <xr:revisionPtr revIDLastSave="0" documentId="13_ncr:1_{1A0C05FC-FBD6-6241-8250-B75F32BF327F}" xr6:coauthVersionLast="47" xr6:coauthVersionMax="47" xr10:uidLastSave="{00000000-0000-0000-0000-000000000000}"/>
  <bookViews>
    <workbookView xWindow="0" yWindow="0" windowWidth="33600" windowHeight="21000" tabRatio="593" xr2:uid="{5539F928-7CC6-4751-82AD-5A2D37C741BC}"/>
  </bookViews>
  <sheets>
    <sheet name="Group figures" sheetId="1" r:id="rId1"/>
    <sheet name="Activities &amp; Slide Numbers" sheetId="10" r:id="rId2"/>
    <sheet name="Feuil4" sheetId="19" r:id="rId3"/>
    <sheet name="Feuil6" sheetId="21" r:id="rId4"/>
    <sheet name="EE0" sheetId="3" state="hidden" r:id="rId5"/>
    <sheet name="categories" sheetId="2" state="hidden" r:id="rId6"/>
  </sheets>
  <definedNames>
    <definedName name="_xlnm._FilterDatabase" localSheetId="1" hidden="1">'Activities &amp; Slide Numbers'!$A$1:$F$2</definedName>
    <definedName name="_xlnm._FilterDatabase" localSheetId="4" hidden="1">EE0!$A$1:$O$22</definedName>
    <definedName name="_xlnm._FilterDatabase" localSheetId="0" hidden="1">'Group figures'!$A$1:$T$45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9" i="1"/>
  <c r="J4" i="1"/>
  <c r="J5" i="1"/>
  <c r="J6" i="1"/>
  <c r="J7" i="1"/>
  <c r="J8" i="1"/>
  <c r="J10" i="1"/>
  <c r="J11" i="1"/>
  <c r="J12" i="1"/>
  <c r="J3" i="1"/>
  <c r="N39" i="1"/>
  <c r="M3" i="1"/>
  <c r="O39" i="1" l="1"/>
  <c r="I40" i="1" l="1" a="1"/>
  <c r="I40" i="1" s="1"/>
  <c r="G45" i="1" a="1"/>
  <c r="G45" i="1" s="1"/>
  <c r="I41" i="1" a="1"/>
  <c r="I41" i="1" s="1"/>
  <c r="I42" i="1" a="1"/>
  <c r="I42" i="1" s="1"/>
  <c r="I44" i="1" a="1"/>
  <c r="I44" i="1" s="1"/>
  <c r="I43" i="1" a="1"/>
  <c r="I43" i="1" s="1"/>
  <c r="E40" i="1" l="1"/>
  <c r="G44" i="1" a="1"/>
  <c r="G44" i="1" s="1"/>
  <c r="G40" i="1" a="1"/>
  <c r="G40" i="1" s="1"/>
  <c r="S39" i="1" l="1"/>
  <c r="I45" i="1" l="1" a="1"/>
  <c r="I45" i="1" s="1"/>
  <c r="G43" i="1" a="1"/>
  <c r="G43" i="1" s="1"/>
  <c r="G42" i="1" a="1"/>
  <c r="G42" i="1" s="1"/>
  <c r="G41" i="1" a="1"/>
  <c r="G41" i="1" s="1"/>
  <c r="M22" i="3"/>
  <c r="K22" i="3"/>
  <c r="J22" i="3"/>
  <c r="K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tc={C17F1528-80B4-4592-9732-17362F5C79A9}</author>
    <author>tc={1EEE092A-62F3-42DF-A211-9B6BCEEC1161}</author>
    <author>tc={69D811F4-CB4B-4207-9BFC-B20F031976F7}</author>
    <author>tc={0957B3E5-A06A-4D51-A9D2-FDFDBD0A19CE}</author>
    <author>tc={E763D6B0-61E3-45DA-A74D-D6200EC84C86}</author>
    <author>tc={B84AC28C-B512-4535-99B1-E4BBAE3AE39E}</author>
  </authors>
  <commentList>
    <comment ref="K10" authorId="0" shapeId="0" xr:uid="{C17F1528-80B4-4592-9732-17362F5C79A9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TBV</t>
        </r>
      </text>
    </comment>
    <comment ref="E15" authorId="1" shapeId="0" xr:uid="{1EEE092A-62F3-42DF-A211-9B6BCEEC1161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a well-being activity, not CSR</t>
        </r>
      </text>
    </comment>
    <comment ref="E18" authorId="2" shapeId="0" xr:uid="{69D811F4-CB4B-4207-9BFC-B20F031976F7}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Wellbeing and not CSR </t>
        </r>
      </text>
    </comment>
    <comment ref="E21" authorId="3" shapeId="0" xr:uid="{0957B3E5-A06A-4D51-A9D2-FDFDBD0A19C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Organised for our employees, so it is wellbeing and not CSR</t>
        </r>
      </text>
    </comment>
    <comment ref="E34" authorId="4" shapeId="0" xr:uid="{E763D6B0-61E3-45DA-A74D-D6200EC84C86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EHS Activity and not CSR</t>
        </r>
      </text>
    </comment>
    <comment ref="E38" authorId="5" shapeId="0" xr:uid="{B84AC28C-B512-4535-99B1-E4BBAE3AE39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Wellbeing not CSR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tc={70735862-7D53-4E57-81DA-5A1F5B21B361}</author>
    <author>tc={BC1C3B48-A956-4338-A68A-DE47AAEEAFA0}</author>
    <author>tc={71A9DAA4-1E19-409D-8637-3C65AB21553E}</author>
    <author>tc={E5CBD37D-E011-4317-B5E9-F38D8CDAF434}</author>
    <author>tc={620C5728-E6D9-4F84-A18A-607B5C8F0C98}</author>
    <author>tc={A07E4DEE-8EA8-4EE0-8F39-A429AC3AF550}</author>
    <author>tc={CB89DF5C-9983-47A9-AE3B-A55C1FC37FD9}</author>
    <author>tc={4DADC9A9-FCB3-4878-86C3-E1DF61CD1B3E}</author>
    <author>tc={CC06FD7D-08A2-4F94-9F4B-B92E7FF63ACB}</author>
    <author>tc={357AB9D0-181F-4C8A-974C-A5EC69947E64}</author>
    <author>tc={7D8D7643-49B4-4518-A80F-EAE54EA1ED3E}</author>
    <author>tc={08D91939-0985-457E-986A-BEA7D2E00A07}</author>
    <author>tc={B62DDA56-BBFC-4B17-BB89-FE0334E03763}</author>
    <author>tc={B09BE394-DA80-4DB8-8F94-AE23636694D9}</author>
    <author>tc={EE6E2708-6DCC-4540-8A68-A52AB7D21DB7}</author>
    <author>tc={CDD5EEE4-4A4D-4453-BB6B-96A2870B30E5}</author>
    <author>tc={7C0EF76B-2B72-48F9-A212-020CDE2ED88D}</author>
    <author>tc={3E1E46E4-41D5-4180-9DED-B2D14C2B0E12}</author>
    <author>tc={F27DF9B4-FDF6-4F1D-94C3-5C7CC8BA67D7}</author>
    <author>tc={897E0D5C-FCA4-400C-957D-18CA8D27E47E}</author>
  </authors>
  <commentList>
    <comment ref="E9" authorId="0" shapeId="0" xr:uid="{70735862-7D53-4E57-81DA-5A1F5B21B361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23" authorId="1" shapeId="0" xr:uid="{BC1C3B48-A956-4338-A68A-DE47AAEEAFA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0" authorId="2" shapeId="0" xr:uid="{71A9DAA4-1E19-409D-8637-3C65AB21553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1" authorId="3" shapeId="0" xr:uid="{E5CBD37D-E011-4317-B5E9-F38D8CDAF434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3" authorId="4" shapeId="0" xr:uid="{620C5728-E6D9-4F84-A18A-607B5C8F0C98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5" authorId="5" shapeId="0" xr:uid="{A07E4DEE-8EA8-4EE0-8F39-A429AC3AF55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6" authorId="6" shapeId="0" xr:uid="{CB89DF5C-9983-47A9-AE3B-A55C1FC37FD9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37" authorId="7" shapeId="0" xr:uid="{4DADC9A9-FCB3-4878-86C3-E1DF61CD1B3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48" authorId="8" shapeId="0" xr:uid="{CC06FD7D-08A2-4F94-9F4B-B92E7FF63ACB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This is not a CSr Action rather a wellbeing</t>
        </r>
      </text>
    </comment>
    <comment ref="E61" authorId="9" shapeId="0" xr:uid="{357AB9D0-181F-4C8A-974C-A5EC69947E64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68" authorId="10" shapeId="0" xr:uid="{7D8D7643-49B4-4518-A80F-EAE54EA1ED3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72" authorId="11" shapeId="0" xr:uid="{08D91939-0985-457E-986A-BEA7D2E00A07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73" authorId="12" shapeId="0" xr:uid="{B62DDA56-BBFC-4B17-BB89-FE0334E03763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75" authorId="13" shapeId="0" xr:uid="{B09BE394-DA80-4DB8-8F94-AE23636694D9}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
</t>
        </r>
      </text>
    </comment>
    <comment ref="E77" authorId="14" shapeId="0" xr:uid="{EE6E2708-6DCC-4540-8A68-A52AB7D21DB7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78" authorId="15" shapeId="0" xr:uid="{CDD5EEE4-4A4D-4453-BB6B-96A2870B30E5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79" authorId="16" shapeId="0" xr:uid="{7C0EF76B-2B72-48F9-A212-020CDE2ED88D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80" authorId="17" shapeId="0" xr:uid="{3E1E46E4-41D5-4180-9DED-B2D14C2B0E12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81" authorId="18" shapeId="0" xr:uid="{F27DF9B4-FDF6-4F1D-94C3-5C7CC8BA67D7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  <comment ref="E82" authorId="19" shapeId="0" xr:uid="{897E0D5C-FCA4-400C-957D-18CA8D27E47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Not CSR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Oumaima CHAAOURI</author>
  </authors>
  <commentList>
    <comment ref="E6" authorId="0" shapeId="0" xr:uid="{2B847B19-D35B-4AAC-A58A-245E468FB711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8" authorId="0" shapeId="0" xr:uid="{B5CAB2C3-D48C-42C4-8FD9-00687FF94712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a wellbeing activity, not CSR</t>
        </r>
      </text>
    </comment>
    <comment ref="E9" authorId="0" shapeId="0" xr:uid="{8CA14F5D-C26C-4AF4-8185-F2FB81727481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Wellbeing activity and CSR</t>
        </r>
      </text>
    </comment>
    <comment ref="E10" authorId="0" shapeId="0" xr:uid="{62309597-46D3-4AFD-8F77-95E7DB92BB94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wellbeing and not CSR</t>
        </r>
      </text>
    </comment>
    <comment ref="E12" authorId="0" shapeId="0" xr:uid="{5CDFF994-7FF5-4674-8E3C-03FD8DA631B9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3" authorId="0" shapeId="0" xr:uid="{C166D65D-65C1-48EF-AC26-9ACE7D719AA3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HR and not CSR</t>
        </r>
      </text>
    </comment>
    <comment ref="E14" authorId="0" shapeId="0" xr:uid="{884892A3-CBBE-42F6-8DA6-325C0D0D481D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5" authorId="0" shapeId="0" xr:uid="{ACD1D5DC-514F-4292-888F-A60F3BD6A51D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6" authorId="0" shapeId="0" xr:uid="{C432F0CD-363F-403F-BAC9-E6B636A06BC8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17" authorId="0" shapeId="0" xr:uid="{41C53C39-3925-4835-AEF3-86D0646B3854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</t>
        </r>
      </text>
    </comment>
    <comment ref="E21" authorId="0" shapeId="0" xr:uid="{F1D13BB0-F599-4635-AA81-25E8937BC768}">
      <text>
        <r>
          <rPr>
            <b/>
            <sz val="9"/>
            <color indexed="81"/>
            <rFont val="Tahoma"/>
            <family val="2"/>
          </rPr>
          <t>Oumaima CHAAOURI:</t>
        </r>
        <r>
          <rPr>
            <sz val="9"/>
            <color indexed="81"/>
            <rFont val="Tahoma"/>
            <family val="2"/>
          </rPr>
          <t xml:space="preserve">
not CSR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<sst xmlns="http://schemas.openxmlformats.org/spreadsheetml/2006/main" count="1089" uniqueCount="289">
  <si>
    <t>Activity N</t>
  </si>
  <si>
    <t>Plant</t>
  </si>
  <si>
    <t>Year</t>
  </si>
  <si>
    <t>Start year</t>
  </si>
  <si>
    <t>edition</t>
  </si>
  <si>
    <t>Organizer</t>
  </si>
  <si>
    <t>CSR 1</t>
  </si>
  <si>
    <t>CSR 2</t>
  </si>
  <si>
    <t>CSR 3</t>
  </si>
  <si>
    <t>CSR 4</t>
  </si>
  <si>
    <t>CSR 5</t>
  </si>
  <si>
    <t>CSR 6</t>
  </si>
  <si>
    <t>CSR 7</t>
  </si>
  <si>
    <t>CSR 8</t>
  </si>
  <si>
    <t>CSR 9</t>
  </si>
  <si>
    <t>CSR 10</t>
  </si>
  <si>
    <t>CSR 11</t>
  </si>
  <si>
    <t>CSR 12</t>
  </si>
  <si>
    <t>CSR 13</t>
  </si>
  <si>
    <t>CSR 14</t>
  </si>
  <si>
    <t>CSR 15</t>
  </si>
  <si>
    <t>CSR 16</t>
  </si>
  <si>
    <t>CSR 17</t>
  </si>
  <si>
    <t>CSR 18</t>
  </si>
  <si>
    <t>CSR 19</t>
  </si>
  <si>
    <t>CSR 20</t>
  </si>
  <si>
    <t>CSR 21</t>
  </si>
  <si>
    <t>CSR 22</t>
  </si>
  <si>
    <t>CSR 23</t>
  </si>
  <si>
    <t>CSR 24</t>
  </si>
  <si>
    <t>CSR 25</t>
  </si>
  <si>
    <t>CSR 26</t>
  </si>
  <si>
    <t>CSR 27</t>
  </si>
  <si>
    <t>CSR 28</t>
  </si>
  <si>
    <t>CSR 29</t>
  </si>
  <si>
    <t>CSR 30</t>
  </si>
  <si>
    <t>CSR 31</t>
  </si>
  <si>
    <t>CSR 32</t>
  </si>
  <si>
    <t>CSR 33</t>
  </si>
  <si>
    <t>CSR 34</t>
  </si>
  <si>
    <t>CSR 35</t>
  </si>
  <si>
    <t>CSR 36</t>
  </si>
  <si>
    <t>CSR 37</t>
  </si>
  <si>
    <t>CSR 38</t>
  </si>
  <si>
    <t>CSR 39</t>
  </si>
  <si>
    <t>CSR 40</t>
  </si>
  <si>
    <t>CSR 41</t>
  </si>
  <si>
    <t>CSR 42</t>
  </si>
  <si>
    <t>CSR 43</t>
  </si>
  <si>
    <t>CSR 44</t>
  </si>
  <si>
    <t>CSR 45</t>
  </si>
  <si>
    <t>CSR 46</t>
  </si>
  <si>
    <t>Total</t>
  </si>
  <si>
    <t>country</t>
  </si>
  <si>
    <t>Region</t>
  </si>
  <si>
    <t>North Africa</t>
  </si>
  <si>
    <t>EE</t>
  </si>
  <si>
    <t>Category</t>
  </si>
  <si>
    <t>Country</t>
  </si>
  <si>
    <t>Education</t>
  </si>
  <si>
    <t>Environment</t>
  </si>
  <si>
    <t>Charity</t>
  </si>
  <si>
    <t>Sports</t>
  </si>
  <si>
    <t>Others</t>
  </si>
  <si>
    <t>Mexico</t>
  </si>
  <si>
    <t>Honduras</t>
  </si>
  <si>
    <t>Portugal</t>
  </si>
  <si>
    <t>Morocco</t>
  </si>
  <si>
    <t>Tunisia</t>
  </si>
  <si>
    <t>Germany</t>
  </si>
  <si>
    <t>Serbia</t>
  </si>
  <si>
    <t>Romania</t>
  </si>
  <si>
    <t>China</t>
  </si>
  <si>
    <t>Activity Title/ description</t>
  </si>
  <si>
    <t>ASIA</t>
  </si>
  <si>
    <t>America</t>
  </si>
  <si>
    <t>western Europe</t>
  </si>
  <si>
    <t>Visit to High Technical School Pećinci</t>
  </si>
  <si>
    <t>NA</t>
  </si>
  <si>
    <t>Nbr of internal Participants</t>
  </si>
  <si>
    <t>HR</t>
  </si>
  <si>
    <t>Donation to School for children with disabilities</t>
  </si>
  <si>
    <t>Donation /Football club Donji Tovarnik</t>
  </si>
  <si>
    <t>Budget in €</t>
  </si>
  <si>
    <t>HR/Plant Manager</t>
  </si>
  <si>
    <t>HR/Regional Director</t>
  </si>
  <si>
    <t>Donation/ School in Petrovčić</t>
  </si>
  <si>
    <t>HR/EHS</t>
  </si>
  <si>
    <t>Donation of trees for the Technical School in Stara Pazova</t>
  </si>
  <si>
    <t>External Partner</t>
  </si>
  <si>
    <t>High Technical School Pećinci</t>
  </si>
  <si>
    <t xml:space="preserve">school for primary and secondary education </t>
  </si>
  <si>
    <t>Local Football Club</t>
  </si>
  <si>
    <t>Elementary School “Dušan Vukasović Diogen</t>
  </si>
  <si>
    <t>Association "Šuma Peva" / Local School</t>
  </si>
  <si>
    <t>Ploiesti</t>
  </si>
  <si>
    <t xml:space="preserve">Celebrating Women’s Day </t>
  </si>
  <si>
    <t xml:space="preserve">Percentage out of all the employees % </t>
  </si>
  <si>
    <t>Internal</t>
  </si>
  <si>
    <t>CSR 47</t>
  </si>
  <si>
    <t>Visit to Kragujevac</t>
  </si>
  <si>
    <t>City of Kragujevac</t>
  </si>
  <si>
    <t>Family Day Celebration</t>
  </si>
  <si>
    <t>IE Day</t>
  </si>
  <si>
    <t xml:space="preserve">Financial Support for Coficab employees </t>
  </si>
  <si>
    <t>Christmas tree decoration</t>
  </si>
  <si>
    <t>Christmas Party</t>
  </si>
  <si>
    <t>Wellbeing_ Sports Day_ Football</t>
  </si>
  <si>
    <t xml:space="preserve">Martisor and Woman's Day </t>
  </si>
  <si>
    <t xml:space="preserve">Family day </t>
  </si>
  <si>
    <t xml:space="preserve">Roca Bruna Hiking  </t>
  </si>
  <si>
    <t>0,04,</t>
  </si>
  <si>
    <t>Asociation Clubul Sportiv Ultra Pânǎ La Capǎ</t>
  </si>
  <si>
    <t xml:space="preserve">World Environment Day: waste collection action </t>
  </si>
  <si>
    <t xml:space="preserve">Retim SA, FCC Environment Romania SRL and the Intercommunity Development Association </t>
  </si>
  <si>
    <t xml:space="preserve">Highschool Prom Sponsorship </t>
  </si>
  <si>
    <t>Adam Muller Guttenbrunn Highschool,  Arad</t>
  </si>
  <si>
    <t xml:space="preserve">Christmas Party </t>
  </si>
  <si>
    <r>
      <rPr>
        <b/>
        <sz val="11"/>
        <color theme="1"/>
        <rFont val="Calibri"/>
        <family val="2"/>
        <scheme val="minor"/>
      </rPr>
      <t>Education:</t>
    </r>
    <r>
      <rPr>
        <sz val="11"/>
        <color theme="1"/>
        <rFont val="Calibri"/>
        <family val="2"/>
        <scheme val="minor"/>
      </rPr>
      <t xml:space="preserve"> 4 actions 
</t>
    </r>
    <r>
      <rPr>
        <b/>
        <sz val="11"/>
        <color theme="1"/>
        <rFont val="Calibri"/>
        <family val="2"/>
        <scheme val="minor"/>
      </rPr>
      <t>Environment:</t>
    </r>
    <r>
      <rPr>
        <sz val="11"/>
        <color theme="1"/>
        <rFont val="Calibri"/>
        <family val="2"/>
        <scheme val="minor"/>
      </rPr>
      <t xml:space="preserve"> 2 actions
</t>
    </r>
    <r>
      <rPr>
        <b/>
        <sz val="11"/>
        <color theme="1"/>
        <rFont val="Calibri"/>
        <family val="2"/>
        <scheme val="minor"/>
      </rPr>
      <t>Charity</t>
    </r>
    <r>
      <rPr>
        <sz val="11"/>
        <color theme="1"/>
        <rFont val="Calibri"/>
        <family val="2"/>
        <scheme val="minor"/>
      </rPr>
      <t xml:space="preserve">: 1 action
</t>
    </r>
    <r>
      <rPr>
        <b/>
        <sz val="11"/>
        <color theme="1"/>
        <rFont val="Calibri"/>
        <family val="2"/>
        <scheme val="minor"/>
      </rPr>
      <t>others:</t>
    </r>
    <r>
      <rPr>
        <sz val="11"/>
        <color theme="1"/>
        <rFont val="Calibri"/>
        <family val="2"/>
        <scheme val="minor"/>
      </rPr>
      <t xml:space="preserve"> 12 actions</t>
    </r>
  </si>
  <si>
    <t xml:space="preserve">20 CSR actions </t>
  </si>
  <si>
    <t>12 External Partners</t>
  </si>
  <si>
    <t>Tunis</t>
  </si>
  <si>
    <t>Mdjez el beb</t>
  </si>
  <si>
    <t>Tangier</t>
  </si>
  <si>
    <t>Arrad</t>
  </si>
  <si>
    <t>Ploeisti</t>
  </si>
  <si>
    <t>Guarda</t>
  </si>
  <si>
    <t>Guarda 2</t>
  </si>
  <si>
    <t>Tianjin</t>
  </si>
  <si>
    <t>Tianjin 2</t>
  </si>
  <si>
    <t>Durrango</t>
  </si>
  <si>
    <t>Juarez</t>
  </si>
  <si>
    <t>Léon</t>
  </si>
  <si>
    <t>Monterrey</t>
  </si>
  <si>
    <r>
      <t xml:space="preserve"> </t>
    </r>
    <r>
      <rPr>
        <b/>
        <sz val="11"/>
        <color theme="1"/>
        <rFont val="Calibri"/>
        <family val="2"/>
        <scheme val="minor"/>
      </rPr>
      <t>11 Actions:</t>
    </r>
    <r>
      <rPr>
        <sz val="11"/>
        <color theme="1"/>
        <rFont val="Calibri"/>
        <family val="2"/>
        <scheme val="minor"/>
      </rPr>
      <t xml:space="preserve"> not considered as CSR (1336 participants)
</t>
    </r>
    <r>
      <rPr>
        <b/>
        <sz val="11"/>
        <color theme="1"/>
        <rFont val="Calibri"/>
        <family val="2"/>
        <scheme val="minor"/>
      </rPr>
      <t>9 CSR Actions</t>
    </r>
    <r>
      <rPr>
        <sz val="11"/>
        <color theme="1"/>
        <rFont val="Calibri"/>
        <family val="2"/>
        <scheme val="minor"/>
      </rPr>
      <t xml:space="preserve"> (85 participantts)</t>
    </r>
  </si>
  <si>
    <t>CSR 48</t>
  </si>
  <si>
    <t>CSR 49</t>
  </si>
  <si>
    <t>CSR 50</t>
  </si>
  <si>
    <t>CSR 51</t>
  </si>
  <si>
    <t>Health</t>
  </si>
  <si>
    <t>CSR 52</t>
  </si>
  <si>
    <t>CSR 53</t>
  </si>
  <si>
    <t>CSR 54</t>
  </si>
  <si>
    <t>CSR 55</t>
  </si>
  <si>
    <t>CSR 56</t>
  </si>
  <si>
    <t>CSR 57</t>
  </si>
  <si>
    <t>CSR 58</t>
  </si>
  <si>
    <t>CSR 59</t>
  </si>
  <si>
    <t>CSR 60</t>
  </si>
  <si>
    <t>CSR 61</t>
  </si>
  <si>
    <t>CSR 62</t>
  </si>
  <si>
    <t>CSR 63</t>
  </si>
  <si>
    <t>CSR 64</t>
  </si>
  <si>
    <t>CSR 65</t>
  </si>
  <si>
    <t>CSR 66</t>
  </si>
  <si>
    <t>CSR 67</t>
  </si>
  <si>
    <t>CSR 68</t>
  </si>
  <si>
    <t>CSR 69</t>
  </si>
  <si>
    <t>CSR 70</t>
  </si>
  <si>
    <t>CSR 71</t>
  </si>
  <si>
    <t>CSR 72</t>
  </si>
  <si>
    <t>CSR 73</t>
  </si>
  <si>
    <t>CSR 74</t>
  </si>
  <si>
    <t>CSR 75</t>
  </si>
  <si>
    <t>CSR 76</t>
  </si>
  <si>
    <t>CSR 77</t>
  </si>
  <si>
    <t>CSR 78</t>
  </si>
  <si>
    <t>Kenitra</t>
  </si>
  <si>
    <t>Number of External Partners</t>
  </si>
  <si>
    <t>Edition</t>
  </si>
  <si>
    <t>Nature</t>
  </si>
  <si>
    <t>Nature of collaboration</t>
  </si>
  <si>
    <t>Social</t>
  </si>
  <si>
    <t>Partnership</t>
  </si>
  <si>
    <t>Sponsorship</t>
  </si>
  <si>
    <t>Charity/Donation</t>
  </si>
  <si>
    <t>Slide Number in PPT</t>
  </si>
  <si>
    <r>
      <t xml:space="preserve">Action Impact
</t>
    </r>
    <r>
      <rPr>
        <b/>
        <sz val="11"/>
        <color theme="1"/>
        <rFont val="Calibri"/>
        <family val="2"/>
        <scheme val="minor"/>
      </rPr>
      <t>Unit</t>
    </r>
  </si>
  <si>
    <r>
      <t xml:space="preserve">Action Impact 
</t>
    </r>
    <r>
      <rPr>
        <b/>
        <sz val="11"/>
        <color theme="1"/>
        <rFont val="Calibri"/>
        <family val="2"/>
        <scheme val="minor"/>
      </rPr>
      <t>In Numbers</t>
    </r>
  </si>
  <si>
    <t>Total HC</t>
  </si>
  <si>
    <t>EHS</t>
  </si>
  <si>
    <t>Kg of plastic caps</t>
  </si>
  <si>
    <t>HR &amp; EHS</t>
  </si>
  <si>
    <t>Cables</t>
  </si>
  <si>
    <t xml:space="preserve">NA </t>
  </si>
  <si>
    <t>Trees</t>
  </si>
  <si>
    <t>Students</t>
  </si>
  <si>
    <t>blood bags</t>
  </si>
  <si>
    <t>CSR 79</t>
  </si>
  <si>
    <t>CSR 80</t>
  </si>
  <si>
    <t>CSR 81</t>
  </si>
  <si>
    <t>CSR 82</t>
  </si>
  <si>
    <t>CSR 83</t>
  </si>
  <si>
    <t>CSR 84</t>
  </si>
  <si>
    <t>CSR 85</t>
  </si>
  <si>
    <t>CSR 86</t>
  </si>
  <si>
    <t>CSR 87</t>
  </si>
  <si>
    <t>CSR 88</t>
  </si>
  <si>
    <t>CSR 89</t>
  </si>
  <si>
    <t>CSR 90</t>
  </si>
  <si>
    <t>CSR 91</t>
  </si>
  <si>
    <t>CSR 92</t>
  </si>
  <si>
    <t>CSR 93</t>
  </si>
  <si>
    <t>CSR 94</t>
  </si>
  <si>
    <t>CSR 95</t>
  </si>
  <si>
    <t>CSR 96</t>
  </si>
  <si>
    <t>CSR 97</t>
  </si>
  <si>
    <t>CSR 98</t>
  </si>
  <si>
    <t>CSR 99</t>
  </si>
  <si>
    <t>CSR 100</t>
  </si>
  <si>
    <t>CSR 101</t>
  </si>
  <si>
    <t>CSR 102</t>
  </si>
  <si>
    <t>CSR 103</t>
  </si>
  <si>
    <t>CSR 104</t>
  </si>
  <si>
    <t>CSR 105</t>
  </si>
  <si>
    <t>CSR 106</t>
  </si>
  <si>
    <t>CSR 107</t>
  </si>
  <si>
    <t>CSR 108</t>
  </si>
  <si>
    <t>(vide)</t>
  </si>
  <si>
    <t>Somme de Number of External Partners</t>
  </si>
  <si>
    <t>P</t>
  </si>
  <si>
    <t>Actual Budget in €</t>
  </si>
  <si>
    <t>Estimated Budget in €</t>
  </si>
  <si>
    <t xml:space="preserve">Donation for “Be Human” foundation </t>
  </si>
  <si>
    <t>Child</t>
  </si>
  <si>
    <t xml:space="preserve">Humanitarian Foundation „ Be Human- Aleksandar Šapić </t>
  </si>
  <si>
    <t>Donation – the Womens Association „Kraljevčanke“</t>
  </si>
  <si>
    <t>Women’s Association „Kraljevčanke“ from Kraljevc</t>
  </si>
  <si>
    <t xml:space="preserve">Donation- Technical School </t>
  </si>
  <si>
    <t>Sports wear</t>
  </si>
  <si>
    <t xml:space="preserve">Technical School Stara Pazova </t>
  </si>
  <si>
    <t xml:space="preserve">Donation- Svratište </t>
  </si>
  <si>
    <t>Clothes</t>
  </si>
  <si>
    <t>Center for Youth Integration in Belgrade</t>
  </si>
  <si>
    <t>World Environment day- planting trees and cleaning action</t>
  </si>
  <si>
    <t xml:space="preserve">World Environment day- planting trees and cleaning action
kindergarten in Surčin.
Nautical Village </t>
  </si>
  <si>
    <t>Donating cables – „Road Arrow„</t>
  </si>
  <si>
    <t>Serbian Formula Student team „ Road Arrow</t>
  </si>
  <si>
    <t>Air conditioners donation- Golubinci school</t>
  </si>
  <si>
    <t>Air conditioners</t>
  </si>
  <si>
    <t>elementary school "23. oktobar</t>
  </si>
  <si>
    <t>Donation- Drop-in shelter center</t>
  </si>
  <si>
    <t xml:space="preserve">center's Drop-In Shelter </t>
  </si>
  <si>
    <t>Pink October</t>
  </si>
  <si>
    <t>Free breast examinations</t>
  </si>
  <si>
    <t>health institute "Medica Nova</t>
  </si>
  <si>
    <t>Blood Donation</t>
  </si>
  <si>
    <t>Blood Transfusion Institute Serbia</t>
  </si>
  <si>
    <t>Battery recycling</t>
  </si>
  <si>
    <t>Kg of battery waste</t>
  </si>
  <si>
    <t>Cap for handicap</t>
  </si>
  <si>
    <t>Anti-drug awareness campaigns in Coficab</t>
  </si>
  <si>
    <t>Donating equipment to a sports club for children</t>
  </si>
  <si>
    <t>sports club for children</t>
  </si>
  <si>
    <t>Rehabilitation of a playground for an educational facility in an educational institution</t>
  </si>
  <si>
    <t>Awareness-raising campaigns for mental health</t>
  </si>
  <si>
    <t xml:space="preserve">Public kindergarten </t>
  </si>
  <si>
    <t>Support an association that is dedicated to helping women and children who are victims of abuse</t>
  </si>
  <si>
    <t xml:space="preserve">Association to help Women and Children </t>
  </si>
  <si>
    <t>Collecting clothes from employees and together with the "Rescue Army" distributing them to needy families in our area</t>
  </si>
  <si>
    <t>Association "Rescue Army"</t>
  </si>
  <si>
    <t>"Pink October" month, breast cancer awareness and prevention</t>
  </si>
  <si>
    <t>Financial and material support to the Elie Radu Energy High</t>
  </si>
  <si>
    <t>Eli Radu Energy High School</t>
  </si>
  <si>
    <t>Collecting clothes from employees and distributing them to DGASPC</t>
  </si>
  <si>
    <t>DGASPC</t>
  </si>
  <si>
    <t>Partnership with NGO for social cases</t>
  </si>
  <si>
    <t>NGO</t>
  </si>
  <si>
    <t>Battery Recycling </t>
  </si>
  <si>
    <t>Cap for Handicap</t>
  </si>
  <si>
    <t>Creativity Campaign- reuse of recyclable materials</t>
  </si>
  <si>
    <t>Kindergarten</t>
  </si>
  <si>
    <t xml:space="preserve">Environmental awareness for kids </t>
  </si>
  <si>
    <t>Tree plantation activity</t>
  </si>
  <si>
    <t>World clean up Day</t>
  </si>
  <si>
    <t>Donations for the Karate Club</t>
  </si>
  <si>
    <t>Children Gym</t>
  </si>
  <si>
    <t>Donation to an association for abused women&amp; children</t>
  </si>
  <si>
    <t xml:space="preserve">The General Directorate of Social Assistance and Child Protection Arad (DGASPC) </t>
  </si>
  <si>
    <t>Robotic Teams Sponsorship</t>
  </si>
  <si>
    <t>Highscool robotics team</t>
  </si>
  <si>
    <t>RECYCLE &amp; CREATE – Eco-friendly art</t>
  </si>
  <si>
    <t>Donation of medical masks</t>
  </si>
  <si>
    <t>Masks</t>
  </si>
  <si>
    <t>Arad Clinical Hospital</t>
  </si>
  <si>
    <t>Clean Up Day - World Environment Day - 2024</t>
  </si>
  <si>
    <t>Environmental Awareness for employees' kids</t>
  </si>
  <si>
    <t>Antidrug awarness Campaign - 2024</t>
  </si>
  <si>
    <t>300f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</si>
</sst>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0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3" borderId="1" xfId="0" applyFill="1" applyBorder="1"/>
    <xf numFmtId="0" fontId="0" fillId="3" borderId="7" xfId="0" applyFill="1" applyBorder="1"/>
    <xf numFmtId="0" fontId="0" fillId="0" borderId="1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9" fontId="0" fillId="4" borderId="1" xfId="0" applyNumberFormat="1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9" fontId="0" fillId="4" borderId="3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3" xfId="0" applyFill="1" applyBorder="1"/>
    <xf numFmtId="0" fontId="0" fillId="0" borderId="1" xfId="0" applyBorder="1" applyAlignment="1">
      <alignment horizontal="center"/>
    </xf>
    <xf numFmtId="0" fontId="0" fillId="0" borderId="7" xfId="0" applyBorder="1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/>
    <xf numFmtId="0" fontId="0" fillId="0" borderId="1" xfId="0" applyBorder="1" applyAlignment="1">
      <alignment vertical="center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9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0" borderId="0" xfId="0" applyAlignment="1">
      <alignment horizontal="center"/>
    </xf>
    <xf numFmtId="165" fontId="0" fillId="0" borderId="1" xfId="1" applyNumberFormat="1" applyFont="1" applyBorder="1"/>
    <xf numFmtId="0" fontId="0" fillId="0" borderId="12" xfId="0" applyBorder="1"/>
    <xf numFmtId="0" fontId="1" fillId="0" borderId="4" xfId="0" applyFont="1" applyBorder="1" applyAlignment="1">
      <alignment vertical="center" wrapText="1"/>
    </xf>
    <xf numFmtId="165" fontId="0" fillId="0" borderId="4" xfId="1" applyNumberFormat="1" applyFont="1" applyBorder="1"/>
    <xf numFmtId="0" fontId="8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5" fontId="10" fillId="0" borderId="1" xfId="1" applyNumberFormat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0" fillId="0" borderId="0" xfId="0" pivotButton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7" fillId="2" borderId="2" xfId="2" applyFill="1" applyBorder="1" applyAlignment="1">
      <alignment horizontal="center" vertical="center" wrapText="1"/>
    </xf>
    <xf numFmtId="0" fontId="7" fillId="2" borderId="4" xfId="2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CSR Consolidated Report Form  (1) (1).xlsx]Feuil4!Tableau croisé dynamique15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Somme de Nbr of internal Participants par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6884191"/>
        <c:axId val="1386882271"/>
      </c:barChart>
      <c:catAx>
        <c:axId val="138688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882271"/>
        <c:crosses val="autoZero"/>
        <c:auto val="1"/>
        <c:lblAlgn val="ctr"/>
        <c:lblOffset val="100"/>
        <c:noMultiLvlLbl val="0"/>
      </c:catAx>
      <c:valAx>
        <c:axId val="13868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8688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[2024 CSR Consolidated Report Form  (1) (1).xlsx]Feuil6!Tableau croisé dynamique31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Somme de Total HC par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T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Feuil6!$C$3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Feuil6!$A$4:$B$19</c:f>
              <c:multiLvlStrCache>
                <c:ptCount val="16"/>
                <c:lvl>
                  <c:pt idx="0">
                    <c:v>Tianjin</c:v>
                  </c:pt>
                  <c:pt idx="1">
                    <c:v>Tianjin 2</c:v>
                  </c:pt>
                  <c:pt idx="2">
                    <c:v>Durrango</c:v>
                  </c:pt>
                  <c:pt idx="3">
                    <c:v>Honduras</c:v>
                  </c:pt>
                  <c:pt idx="4">
                    <c:v>Juarez</c:v>
                  </c:pt>
                  <c:pt idx="5">
                    <c:v>Léon</c:v>
                  </c:pt>
                  <c:pt idx="6">
                    <c:v>Kenitra</c:v>
                  </c:pt>
                  <c:pt idx="7">
                    <c:v>Tangier</c:v>
                  </c:pt>
                  <c:pt idx="8">
                    <c:v>Guarda</c:v>
                  </c:pt>
                  <c:pt idx="9">
                    <c:v>Guarda 2</c:v>
                  </c:pt>
                  <c:pt idx="10">
                    <c:v>Ploeisti</c:v>
                  </c:pt>
                  <c:pt idx="11">
                    <c:v>Romania</c:v>
                  </c:pt>
                  <c:pt idx="12">
                    <c:v>Serbia</c:v>
                  </c:pt>
                  <c:pt idx="13">
                    <c:v>Mdjez el beb</c:v>
                  </c:pt>
                  <c:pt idx="14">
                    <c:v>Tunis</c:v>
                  </c:pt>
                  <c:pt idx="15">
                    <c:v>(blank)</c:v>
                  </c:pt>
                </c:lvl>
                <c:lvl>
                  <c:pt idx="0">
                    <c:v>China</c:v>
                  </c:pt>
                  <c:pt idx="2">
                    <c:v>Mexico</c:v>
                  </c:pt>
                  <c:pt idx="6">
                    <c:v>Morocco</c:v>
                  </c:pt>
                  <c:pt idx="8">
                    <c:v>Portugal</c:v>
                  </c:pt>
                  <c:pt idx="10">
                    <c:v>Romania</c:v>
                  </c:pt>
                  <c:pt idx="12">
                    <c:v>Serbia</c:v>
                  </c:pt>
                  <c:pt idx="13">
                    <c:v>Tunisia</c:v>
                  </c:pt>
                  <c:pt idx="15">
                    <c:v>(blank)</c:v>
                  </c:pt>
                </c:lvl>
              </c:multiLvlStrCache>
            </c:multiLvlStrRef>
          </c:cat>
          <c:val>
            <c:numRef>
              <c:f>Feuil6!$C$4:$C$19</c:f>
              <c:numCache>
                <c:formatCode>General</c:formatCode>
                <c:ptCount val="16"/>
                <c:pt idx="10">
                  <c:v>1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B-4184-8304-11D586E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38431"/>
        <c:axId val="110738911"/>
      </c:barChart>
      <c:catAx>
        <c:axId val="1107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38911"/>
        <c:crosses val="autoZero"/>
        <c:auto val="1"/>
        <c:lblAlgn val="ctr"/>
        <c:lblOffset val="100"/>
        <c:noMultiLvlLbl val="0"/>
      </c:catAx>
      <c:valAx>
        <c:axId val="1107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73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438149</xdr:colOff>
      <xdr:row>11</xdr:row>
      <xdr:rowOff>52386</xdr:rowOff>
    </xdr:from>
    <xdr:to>
      <xdr:col>34</xdr:col>
      <xdr:colOff>19050</xdr:colOff>
      <xdr:row>27</xdr:row>
      <xdr:rowOff>190499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675E232-1147-4241-A589-D6DC3CA714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11</xdr:row>
      <xdr:rowOff>52387</xdr:rowOff>
    </xdr:from>
    <xdr:to>
      <xdr:col>13</xdr:col>
      <xdr:colOff>600075</xdr:colOff>
      <xdr:row>25</xdr:row>
      <xdr:rowOff>128587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DCC28D2-6FAD-5CA5-726E-F9247CDAF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umaima CHAAOURI" id="{16BC2F86-3887-48A6-9FC5-478513808505}" userId="S::oumaima.chaaouri@coficab.com::cf451851-e944-4938-ae39-749af6cc2f8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umaima CHAAOURI" refreshedDate="45860.502709490742" createdVersion="8" refreshedVersion="8" minRefreshableVersion="3" recordCount="127" xr:uid="{D4099458-B69B-4B52-91FC-B053C735671C}">
  <cacheSource type="worksheet">
    <worksheetSource ref="A1:T45" sheet="Group figures"/>
  </cacheSource>
  <cacheFields count="20">
    <cacheField name="Activity N" numFmtId="0">
      <sharedItems containsBlank="1"/>
    </cacheField>
    <cacheField name="Region" numFmtId="0">
      <sharedItems containsBlank="1"/>
    </cacheField>
    <cacheField name="country" numFmtId="0">
      <sharedItems containsBlank="1" count="8">
        <m/>
        <s v="Serbia"/>
        <s v="Romania"/>
        <s v="China"/>
        <s v="Portugal"/>
        <s v="Mexico"/>
        <s v="Tunisia"/>
        <s v="Morocco"/>
      </sharedItems>
    </cacheField>
    <cacheField name="Plant" numFmtId="0">
      <sharedItems containsBlank="1" count="16">
        <m/>
        <s v="Serbia"/>
        <s v="Ploeisti"/>
        <s v="Romania"/>
        <s v="Tianjin"/>
        <s v="Tianjin 2"/>
        <s v="Guarda"/>
        <s v="Guarda 2"/>
        <s v="Durrango"/>
        <s v="Léon"/>
        <s v="Honduras"/>
        <s v="Juarez"/>
        <s v="Tunis"/>
        <s v="Mdjez el beb"/>
        <s v="Tangier"/>
        <s v="Kenitra"/>
      </sharedItems>
    </cacheField>
    <cacheField name="Activity Title/ description" numFmtId="0">
      <sharedItems containsBlank="1"/>
    </cacheField>
    <cacheField name="Category" numFmtId="0">
      <sharedItems containsBlank="1"/>
    </cacheField>
    <cacheField name="Nature of collaboration" numFmtId="0">
      <sharedItems containsBlank="1"/>
    </cacheField>
    <cacheField name="Year" numFmtId="0">
      <sharedItems containsString="0" containsBlank="1" containsNumber="1" containsInteger="1" minValue="2022" maxValue="2022"/>
    </cacheField>
    <cacheField name="Start year" numFmtId="0">
      <sharedItems containsString="0" containsBlank="1" containsNumber="1" minValue="0" maxValue="2024"/>
    </cacheField>
    <cacheField name="Edition" numFmtId="0">
      <sharedItems containsString="0" containsBlank="1" containsNumber="1" containsInteger="1" minValue="1" maxValue="7"/>
    </cacheField>
    <cacheField name="Nbr of internal Participants" numFmtId="0">
      <sharedItems containsString="0" containsBlank="1" containsNumber="1" containsInteger="1" minValue="0" maxValue="1275"/>
    </cacheField>
    <cacheField name="Total HC" numFmtId="0">
      <sharedItems containsString="0" containsBlank="1" containsNumber="1" containsInteger="1" minValue="307" maxValue="910"/>
    </cacheField>
    <cacheField name="Percentage out of all the employees % " numFmtId="0">
      <sharedItems containsString="0" containsBlank="1" containsNumber="1" minValue="0" maxValue="0.9771986970684039"/>
    </cacheField>
    <cacheField name="Estimated Budget in €" numFmtId="0">
      <sharedItems containsString="0" containsBlank="1" containsNumber="1" containsInteger="1" minValue="0" maxValue="0"/>
    </cacheField>
    <cacheField name="Actual Budget in €" numFmtId="0">
      <sharedItems containsString="0" containsBlank="1" containsNumber="1" containsInteger="1" minValue="0" maxValue="7277"/>
    </cacheField>
    <cacheField name="Action Impact _x000a_In Numbers" numFmtId="0">
      <sharedItems containsBlank="1" containsMixedTypes="1" containsNumber="1" containsInteger="1" minValue="0" maxValue="5000"/>
    </cacheField>
    <cacheField name="Action Impact_x000a_Unit" numFmtId="0">
      <sharedItems containsBlank="1" containsMixedTypes="1" containsNumber="1" containsInteger="1" minValue="0" maxValue="0"/>
    </cacheField>
    <cacheField name="Organizer" numFmtId="0">
      <sharedItems containsBlank="1"/>
    </cacheField>
    <cacheField name="External Partner" numFmtId="0">
      <sharedItems containsBlank="1" containsMixedTypes="1" containsNumber="1" containsInteger="1" minValue="13" maxValue="13"/>
    </cacheField>
    <cacheField name="Number of External Partners" numFmtId="0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umaima CHAAOURI" refreshedDate="45860.502710300927" createdVersion="8" refreshedVersion="8" minRefreshableVersion="3" recordCount="127" xr:uid="{DE78DC3D-1385-4AD9-B60F-DEABACE8461E}">
  <cacheSource type="worksheet">
    <worksheetSource ref="A1:T45" sheet="Group figures"/>
  </cacheSource>
  <cacheFields count="20">
    <cacheField name="Activity N" numFmtId="0">
      <sharedItems containsBlank="1"/>
    </cacheField>
    <cacheField name="Region" numFmtId="0">
      <sharedItems containsBlank="1"/>
    </cacheField>
    <cacheField name="country" numFmtId="0">
      <sharedItems containsBlank="1" count="8">
        <m/>
        <s v="Serbia"/>
        <s v="Romania"/>
        <s v="China"/>
        <s v="Portugal"/>
        <s v="Mexico"/>
        <s v="Tunisia"/>
        <s v="Morocco"/>
      </sharedItems>
    </cacheField>
    <cacheField name="Plant" numFmtId="0">
      <sharedItems containsBlank="1"/>
    </cacheField>
    <cacheField name="Activity Title/ description" numFmtId="0">
      <sharedItems containsBlank="1"/>
    </cacheField>
    <cacheField name="Category" numFmtId="0">
      <sharedItems containsBlank="1" count="8">
        <m/>
        <s v="Social"/>
        <s v="Sports"/>
        <s v="Environment"/>
        <s v="Education"/>
        <s v="Health"/>
        <s v="P"/>
        <s v="Others"/>
      </sharedItems>
    </cacheField>
    <cacheField name="Nature of collaboration" numFmtId="0">
      <sharedItems containsBlank="1"/>
    </cacheField>
    <cacheField name="Year" numFmtId="0">
      <sharedItems containsString="0" containsBlank="1" containsNumber="1" containsInteger="1" minValue="2022" maxValue="2022"/>
    </cacheField>
    <cacheField name="Start year" numFmtId="0">
      <sharedItems containsString="0" containsBlank="1" containsNumber="1" minValue="0" maxValue="2024"/>
    </cacheField>
    <cacheField name="Edition" numFmtId="0">
      <sharedItems containsString="0" containsBlank="1" containsNumber="1" containsInteger="1" minValue="1" maxValue="7"/>
    </cacheField>
    <cacheField name="Nbr of internal Participants" numFmtId="0">
      <sharedItems containsString="0" containsBlank="1" containsNumber="1" containsInteger="1" minValue="0" maxValue="1275"/>
    </cacheField>
    <cacheField name="Total HC" numFmtId="0">
      <sharedItems containsString="0" containsBlank="1" containsNumber="1" containsInteger="1" minValue="307" maxValue="910"/>
    </cacheField>
    <cacheField name="Percentage out of all the employees % " numFmtId="0">
      <sharedItems containsString="0" containsBlank="1" containsNumber="1" minValue="0" maxValue="0.9771986970684039"/>
    </cacheField>
    <cacheField name="Estimated Budget in €" numFmtId="0">
      <sharedItems containsString="0" containsBlank="1" containsNumber="1" containsInteger="1" minValue="0" maxValue="0"/>
    </cacheField>
    <cacheField name="Actual Budget in €" numFmtId="0">
      <sharedItems containsString="0" containsBlank="1" containsNumber="1" containsInteger="1" minValue="0" maxValue="7277"/>
    </cacheField>
    <cacheField name="Action Impact _x000a_In Numbers" numFmtId="0">
      <sharedItems containsBlank="1" containsMixedTypes="1" containsNumber="1" containsInteger="1" minValue="0" maxValue="5000"/>
    </cacheField>
    <cacheField name="Action Impact_x000a_Unit" numFmtId="0">
      <sharedItems containsBlank="1" containsMixedTypes="1" containsNumber="1" containsInteger="1" minValue="0" maxValue="0"/>
    </cacheField>
    <cacheField name="Organizer" numFmtId="0">
      <sharedItems containsBlank="1"/>
    </cacheField>
    <cacheField name="External Partner" numFmtId="0">
      <sharedItems containsBlank="1" containsMixedTypes="1" containsNumber="1" containsInteger="1" minValue="13" maxValue="13"/>
    </cacheField>
    <cacheField name="Number of External Partners" numFmtId="0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m/>
    <x v="0"/>
    <x v="0"/>
    <m/>
    <m/>
    <m/>
    <m/>
    <m/>
    <m/>
    <m/>
    <m/>
    <m/>
    <m/>
    <m/>
    <m/>
    <m/>
    <m/>
    <m/>
    <m/>
  </r>
  <r>
    <s v="CSR 1"/>
    <s v="EE"/>
    <x v="1"/>
    <x v="1"/>
    <s v="Donation for “Be Human” foundation "/>
    <s v="Social"/>
    <s v="Charity/Donation"/>
    <n v="2022"/>
    <n v="2024"/>
    <n v="1"/>
    <n v="0"/>
    <n v="307"/>
    <n v="0"/>
    <m/>
    <n v="300"/>
    <n v="12"/>
    <s v="Child"/>
    <s v="HR"/>
    <s v="Humanitarian Foundation „ Be Human- Aleksandar Šapić "/>
    <n v="1"/>
  </r>
  <r>
    <s v="CSR 2"/>
    <s v="EE"/>
    <x v="1"/>
    <x v="1"/>
    <s v="Donation – the Womens Association „Kraljevčanke“"/>
    <s v="Social"/>
    <s v="Charity/Donation"/>
    <m/>
    <n v="2024"/>
    <n v="1"/>
    <n v="2"/>
    <n v="307"/>
    <n v="6.5146579804560263E-3"/>
    <m/>
    <n v="170"/>
    <s v="NA"/>
    <s v="NA"/>
    <s v="HR"/>
    <s v="Women’s Association „Kraljevčanke“ from Kraljevc"/>
    <n v="1"/>
  </r>
  <r>
    <s v="CSR 3"/>
    <s v="EE"/>
    <x v="1"/>
    <x v="1"/>
    <s v="Donation- Technical School "/>
    <s v="Sports"/>
    <s v="Charity/Donation"/>
    <m/>
    <n v="2022"/>
    <n v="3"/>
    <n v="3"/>
    <n v="307"/>
    <n v="9.7719869706840382E-3"/>
    <m/>
    <n v="475"/>
    <n v="160"/>
    <s v="Sports wear"/>
    <s v="HR"/>
    <s v="Technical School Stara Pazova "/>
    <n v="1"/>
  </r>
  <r>
    <s v="CSR 4"/>
    <s v="EE"/>
    <x v="1"/>
    <x v="1"/>
    <s v="Donation- Svratište "/>
    <s v="Social"/>
    <s v="Charity/Donation"/>
    <m/>
    <n v="2023"/>
    <n v="2"/>
    <n v="300"/>
    <n v="307"/>
    <n v="0.9771986970684039"/>
    <m/>
    <n v="0"/>
    <n v="0"/>
    <s v="Clothes"/>
    <s v="HR"/>
    <s v="Center for Youth Integration in Belgrade"/>
    <n v="1"/>
  </r>
  <r>
    <s v="CSR 5"/>
    <s v="EE"/>
    <x v="1"/>
    <x v="1"/>
    <s v="World Environment day- planting trees and cleaning action"/>
    <s v="Environment"/>
    <s v="Partnership"/>
    <m/>
    <n v="2024"/>
    <n v="1"/>
    <n v="20"/>
    <n v="307"/>
    <n v="6.5146579804560262E-2"/>
    <m/>
    <n v="710"/>
    <n v="120"/>
    <s v="Trees"/>
    <s v="HR &amp; EHS"/>
    <s v="World Environment day- planting trees and cleaning action_x000a_kindergarten in Surčin._x000a_Nautical Village "/>
    <n v="3"/>
  </r>
  <r>
    <s v="CSR 6"/>
    <s v="EE"/>
    <x v="1"/>
    <x v="1"/>
    <s v="Donating cables – „Road Arrow„"/>
    <s v="Education"/>
    <s v="Sponsorship"/>
    <m/>
    <n v="2024"/>
    <n v="1"/>
    <n v="3"/>
    <n v="307"/>
    <n v="9.7719869706840382E-3"/>
    <m/>
    <n v="200"/>
    <s v="NA"/>
    <s v="Cables"/>
    <s v="HR"/>
    <s v="Serbian Formula Student team „ Road Arrow"/>
    <n v="1"/>
  </r>
  <r>
    <s v="CSR 7"/>
    <s v="EE"/>
    <x v="1"/>
    <x v="1"/>
    <s v="Air conditioners donation- Golubinci school"/>
    <s v="Education"/>
    <s v="Charity/Donation"/>
    <m/>
    <n v="2022"/>
    <n v="2"/>
    <n v="5"/>
    <n v="307"/>
    <n v="1.6286644951140065E-2"/>
    <m/>
    <n v="1330"/>
    <n v="4"/>
    <s v="Air conditioners"/>
    <s v="HR"/>
    <s v="elementary school &quot;23. oktobar"/>
    <n v="1"/>
  </r>
  <r>
    <s v="CSR 8"/>
    <s v="EE"/>
    <x v="1"/>
    <x v="1"/>
    <s v="Donation- Drop-in shelter center"/>
    <s v="Social"/>
    <s v="Charity/Donation"/>
    <m/>
    <n v="2024"/>
    <n v="1"/>
    <n v="300"/>
    <n v="307"/>
    <n v="0.9771986970684039"/>
    <m/>
    <n v="0"/>
    <n v="4"/>
    <s v="Clothes"/>
    <s v="HR"/>
    <s v="center's Drop-In Shelter "/>
    <n v="1"/>
  </r>
  <r>
    <s v="CSR 9"/>
    <s v="EE"/>
    <x v="1"/>
    <x v="1"/>
    <s v="Pink October"/>
    <s v="Health"/>
    <s v="Sponsorship"/>
    <m/>
    <n v="2024"/>
    <n v="1"/>
    <n v="1"/>
    <n v="307"/>
    <n v="3.2573289902280132E-3"/>
    <m/>
    <n v="1307"/>
    <n v="50"/>
    <s v="Free breast examinations"/>
    <s v="HR"/>
    <s v="health institute &quot;Medica Nova"/>
    <n v="1"/>
  </r>
  <r>
    <s v="CSR 10"/>
    <s v="EE"/>
    <x v="1"/>
    <x v="1"/>
    <s v="Blood Donation"/>
    <s v="Health"/>
    <s v="Charity/Donation"/>
    <m/>
    <n v="2023"/>
    <n v="2"/>
    <n v="10"/>
    <n v="307"/>
    <n v="3.2573289902280131E-2"/>
    <m/>
    <n v="285"/>
    <n v="50"/>
    <s v="blood bags"/>
    <s v="HR"/>
    <s v="Blood Transfusion Institute Serbia"/>
    <n v="1"/>
  </r>
  <r>
    <s v="CSR 11"/>
    <s v="EE"/>
    <x v="1"/>
    <x v="1"/>
    <s v="Battery recycling"/>
    <s v="Environment"/>
    <s v="Others"/>
    <m/>
    <n v="2023"/>
    <n v="2"/>
    <n v="300"/>
    <n v="307"/>
    <n v="0.9771986970684039"/>
    <m/>
    <n v="0"/>
    <n v="30"/>
    <s v="Kg of battery waste"/>
    <s v="HR"/>
    <s v="NA"/>
    <n v="0"/>
  </r>
  <r>
    <s v="CSR 12"/>
    <s v="EE"/>
    <x v="1"/>
    <x v="1"/>
    <s v="Cap for handicap"/>
    <s v="Environment"/>
    <s v="Others"/>
    <m/>
    <n v="2023"/>
    <n v="2"/>
    <n v="250"/>
    <n v="307"/>
    <n v="0.81433224755700329"/>
    <m/>
    <n v="0"/>
    <n v="30"/>
    <s v="Kg of plastic caps"/>
    <s v="HR/EHS"/>
    <s v="NA"/>
    <n v="0"/>
  </r>
  <r>
    <s v="CSR 13"/>
    <s v="EE"/>
    <x v="2"/>
    <x v="2"/>
    <s v="Anti-drug awareness campaigns in Coficab"/>
    <s v="Health"/>
    <s v="Others"/>
    <m/>
    <n v="2024"/>
    <n v="1"/>
    <n v="66"/>
    <n v="307"/>
    <n v="0.21498371335504887"/>
    <m/>
    <n v="0"/>
    <n v="0"/>
    <s v="NA"/>
    <s v="HR/EHS"/>
    <s v="NA"/>
    <n v="0"/>
  </r>
  <r>
    <s v="CSR 14"/>
    <s v="EE"/>
    <x v="2"/>
    <x v="2"/>
    <s v="Donating equipment to a sports club for children"/>
    <s v="Sports"/>
    <s v="Charity/Donation"/>
    <m/>
    <n v="2024"/>
    <n v="1"/>
    <n v="0"/>
    <n v="307"/>
    <n v="0"/>
    <m/>
    <n v="1000"/>
    <n v="0"/>
    <n v="0"/>
    <s v="HR"/>
    <s v="sports club for children"/>
    <n v="1"/>
  </r>
  <r>
    <s v="CSR 15"/>
    <s v="EE"/>
    <x v="2"/>
    <x v="2"/>
    <s v="Rehabilitation of a playground for an educational facility in an educational institution"/>
    <s v="Environment"/>
    <s v="Partnership"/>
    <m/>
    <n v="2024"/>
    <n v="1"/>
    <n v="15"/>
    <n v="313"/>
    <n v="4.7923322683706068E-2"/>
    <m/>
    <n v="1500"/>
    <s v="NA"/>
    <s v="Cables"/>
    <s v="HR"/>
    <m/>
    <m/>
  </r>
  <r>
    <s v="CSR 16"/>
    <s v="EE"/>
    <x v="2"/>
    <x v="2"/>
    <m/>
    <m/>
    <m/>
    <m/>
    <m/>
    <n v="1"/>
    <m/>
    <n v="313"/>
    <n v="0"/>
    <m/>
    <m/>
    <s v="NA"/>
    <s v="Clothing"/>
    <s v="HR"/>
    <m/>
    <m/>
  </r>
  <r>
    <s v="CSR 17"/>
    <s v="EE"/>
    <x v="2"/>
    <x v="2"/>
    <m/>
    <m/>
    <m/>
    <m/>
    <m/>
    <n v="1"/>
    <m/>
    <n v="313"/>
    <n v="0"/>
    <m/>
    <m/>
    <s v="NA "/>
    <s v="NA"/>
    <s v="HR"/>
    <m/>
    <m/>
  </r>
  <r>
    <s v="CSR 18"/>
    <s v="EE"/>
    <x v="2"/>
    <x v="2"/>
    <m/>
    <m/>
    <m/>
    <m/>
    <m/>
    <n v="1"/>
    <m/>
    <n v="313"/>
    <n v="0"/>
    <m/>
    <m/>
    <n v="200"/>
    <s v="Trees"/>
    <s v="EHS"/>
    <m/>
    <m/>
  </r>
  <r>
    <s v="CSR 19"/>
    <s v="EE"/>
    <x v="2"/>
    <x v="3"/>
    <m/>
    <m/>
    <m/>
    <m/>
    <m/>
    <n v="1"/>
    <m/>
    <n v="411"/>
    <n v="0"/>
    <m/>
    <m/>
    <s v="NA"/>
    <s v="NA"/>
    <s v="HR"/>
    <m/>
    <m/>
  </r>
  <r>
    <s v="CSR 20"/>
    <s v="EE"/>
    <x v="2"/>
    <x v="3"/>
    <m/>
    <m/>
    <m/>
    <m/>
    <m/>
    <n v="1"/>
    <m/>
    <n v="411"/>
    <n v="0"/>
    <m/>
    <m/>
    <s v="NA"/>
    <s v="NA"/>
    <s v="HR"/>
    <m/>
    <m/>
  </r>
  <r>
    <s v="CSR 21"/>
    <s v="EE"/>
    <x v="2"/>
    <x v="3"/>
    <m/>
    <m/>
    <m/>
    <m/>
    <m/>
    <n v="1"/>
    <m/>
    <n v="411"/>
    <n v="0"/>
    <m/>
    <m/>
    <s v="NA"/>
    <s v="NA"/>
    <s v="HR"/>
    <m/>
    <m/>
  </r>
  <r>
    <s v="CSR 22"/>
    <s v="EE"/>
    <x v="2"/>
    <x v="3"/>
    <m/>
    <m/>
    <m/>
    <m/>
    <m/>
    <n v="1"/>
    <m/>
    <n v="411"/>
    <n v="0"/>
    <m/>
    <m/>
    <n v="10"/>
    <s v="Bags of clothes"/>
    <s v="HR"/>
    <m/>
    <m/>
  </r>
  <r>
    <s v="CSR 23"/>
    <s v="EE"/>
    <x v="2"/>
    <x v="3"/>
    <m/>
    <m/>
    <m/>
    <m/>
    <m/>
    <n v="1"/>
    <m/>
    <n v="411"/>
    <n v="0"/>
    <m/>
    <m/>
    <s v="NA"/>
    <s v="NA"/>
    <s v="HR"/>
    <m/>
    <m/>
  </r>
  <r>
    <s v="CSR 24"/>
    <s v="EE"/>
    <x v="2"/>
    <x v="3"/>
    <m/>
    <m/>
    <m/>
    <m/>
    <m/>
    <n v="1"/>
    <m/>
    <n v="411"/>
    <n v="0"/>
    <m/>
    <m/>
    <s v="NA"/>
    <s v="NA"/>
    <s v="EHS"/>
    <m/>
    <m/>
  </r>
  <r>
    <s v="CSR 25"/>
    <s v="EE"/>
    <x v="2"/>
    <x v="3"/>
    <m/>
    <m/>
    <m/>
    <m/>
    <m/>
    <n v="1"/>
    <m/>
    <n v="411"/>
    <n v="0"/>
    <m/>
    <m/>
    <s v="NA"/>
    <s v="NA"/>
    <s v="EHS"/>
    <m/>
    <m/>
  </r>
  <r>
    <s v="CSR 26"/>
    <s v="EE"/>
    <x v="2"/>
    <x v="3"/>
    <m/>
    <m/>
    <m/>
    <m/>
    <m/>
    <n v="1"/>
    <m/>
    <n v="411"/>
    <n v="0"/>
    <m/>
    <m/>
    <n v="174"/>
    <s v="Trees"/>
    <s v="EHS"/>
    <m/>
    <m/>
  </r>
  <r>
    <s v="CSR 27"/>
    <s v="EE"/>
    <x v="2"/>
    <x v="3"/>
    <m/>
    <m/>
    <m/>
    <m/>
    <m/>
    <n v="1"/>
    <m/>
    <n v="411"/>
    <n v="0"/>
    <m/>
    <m/>
    <s v="NA"/>
    <s v="NA"/>
    <s v="HR"/>
    <m/>
    <m/>
  </r>
  <r>
    <s v="CSR 28"/>
    <s v="ASIA"/>
    <x v="3"/>
    <x v="4"/>
    <m/>
    <m/>
    <m/>
    <m/>
    <m/>
    <n v="1"/>
    <m/>
    <n v="314"/>
    <n v="0"/>
    <m/>
    <m/>
    <s v="NA"/>
    <s v="NA"/>
    <s v="HR"/>
    <m/>
    <m/>
  </r>
  <r>
    <s v="CSR 29"/>
    <s v="ASIA"/>
    <x v="3"/>
    <x v="5"/>
    <m/>
    <m/>
    <m/>
    <m/>
    <m/>
    <n v="1"/>
    <m/>
    <n v="314"/>
    <n v="0"/>
    <m/>
    <m/>
    <s v="NA"/>
    <s v="NA"/>
    <s v="EHS"/>
    <m/>
    <m/>
  </r>
  <r>
    <s v="CSR 30"/>
    <s v="ASIA"/>
    <x v="3"/>
    <x v="4"/>
    <m/>
    <m/>
    <m/>
    <m/>
    <m/>
    <n v="1"/>
    <m/>
    <n v="314"/>
    <n v="0"/>
    <m/>
    <m/>
    <s v="NA"/>
    <s v="NA"/>
    <s v="HR"/>
    <m/>
    <m/>
  </r>
  <r>
    <s v="CSR 31"/>
    <s v="ASIA"/>
    <x v="3"/>
    <x v="4"/>
    <m/>
    <m/>
    <m/>
    <m/>
    <m/>
    <n v="1"/>
    <m/>
    <n v="314"/>
    <n v="0"/>
    <m/>
    <m/>
    <s v="NA"/>
    <s v="NA"/>
    <s v="EHS"/>
    <m/>
    <m/>
  </r>
  <r>
    <s v="CSR 32"/>
    <s v="ASIA"/>
    <x v="3"/>
    <x v="4"/>
    <m/>
    <m/>
    <m/>
    <m/>
    <m/>
    <n v="1"/>
    <m/>
    <n v="314"/>
    <n v="0"/>
    <m/>
    <m/>
    <s v="NA "/>
    <s v="Wheelchairs"/>
    <s v="HR"/>
    <m/>
    <m/>
  </r>
  <r>
    <s v="CSR 33"/>
    <s v="ASIA"/>
    <x v="3"/>
    <x v="5"/>
    <m/>
    <m/>
    <m/>
    <m/>
    <m/>
    <n v="1"/>
    <m/>
    <n v="314"/>
    <n v="0"/>
    <m/>
    <m/>
    <s v="NA"/>
    <s v="NA"/>
    <s v="EHS"/>
    <m/>
    <m/>
  </r>
  <r>
    <s v="CSR 34"/>
    <s v="ASIA"/>
    <x v="3"/>
    <x v="4"/>
    <m/>
    <m/>
    <m/>
    <m/>
    <m/>
    <n v="1"/>
    <m/>
    <n v="314"/>
    <n v="0"/>
    <m/>
    <m/>
    <s v="NA"/>
    <s v="NA"/>
    <s v="EHS"/>
    <m/>
    <m/>
  </r>
  <r>
    <s v="CSR 35"/>
    <s v="ASIA"/>
    <x v="3"/>
    <x v="4"/>
    <m/>
    <m/>
    <m/>
    <m/>
    <m/>
    <n v="1"/>
    <m/>
    <n v="314"/>
    <n v="0"/>
    <m/>
    <m/>
    <s v="NA"/>
    <s v="NA"/>
    <s v="EHS"/>
    <m/>
    <m/>
  </r>
  <r>
    <s v="CSR 36"/>
    <s v="western Europe"/>
    <x v="4"/>
    <x v="6"/>
    <m/>
    <m/>
    <m/>
    <m/>
    <m/>
    <n v="1"/>
    <m/>
    <n v="910"/>
    <n v="0"/>
    <m/>
    <m/>
    <n v="150"/>
    <s v="Students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37"/>
    <s v="western Europe"/>
    <x v="4"/>
    <x v="6"/>
    <m/>
    <m/>
    <m/>
    <m/>
    <m/>
    <n v="7"/>
    <m/>
    <n v="910"/>
    <n v="0"/>
    <m/>
    <m/>
    <s v="NA"/>
    <s v="Cables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38"/>
    <s v="western Europe"/>
    <x v="4"/>
    <x v="6"/>
    <m/>
    <m/>
    <m/>
    <m/>
    <m/>
    <n v="3"/>
    <m/>
    <n v="910"/>
    <n v="0"/>
    <m/>
    <m/>
    <s v="NA"/>
    <s v="NA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39"/>
    <s v="western Europe"/>
    <x v="4"/>
    <x v="6"/>
    <m/>
    <m/>
    <m/>
    <m/>
    <m/>
    <n v="2"/>
    <m/>
    <n v="910"/>
    <n v="0"/>
    <m/>
    <m/>
    <n v="2100"/>
    <s v="Trees"/>
    <s v="HR"/>
    <m/>
    <m/>
  </r>
  <r>
    <m/>
    <s v="western Europe"/>
    <x v="4"/>
    <x v="7"/>
    <m/>
    <m/>
    <m/>
    <m/>
    <m/>
    <m/>
    <m/>
    <n v="910"/>
    <m/>
    <m/>
    <m/>
    <m/>
    <m/>
    <m/>
    <m/>
    <m/>
  </r>
  <r>
    <s v="CSR 40"/>
    <s v="western Europe"/>
    <x v="4"/>
    <x v="6"/>
    <m/>
    <m/>
    <m/>
    <m/>
    <m/>
    <n v="2"/>
    <m/>
    <n v="910"/>
    <n v="0"/>
    <m/>
    <m/>
    <s v="NA"/>
    <s v="NA"/>
    <s v="HR"/>
    <m/>
    <m/>
  </r>
  <r>
    <m/>
    <s v="western Europe"/>
    <x v="4"/>
    <x v="7"/>
    <m/>
    <m/>
    <m/>
    <m/>
    <m/>
    <m/>
    <m/>
    <m/>
    <m/>
    <m/>
    <m/>
    <m/>
    <m/>
    <m/>
    <m/>
    <m/>
  </r>
  <r>
    <s v="CSR 41"/>
    <s v="western Europe"/>
    <x v="4"/>
    <x v="6"/>
    <m/>
    <m/>
    <m/>
    <m/>
    <m/>
    <n v="3"/>
    <m/>
    <n v="910"/>
    <n v="0"/>
    <m/>
    <m/>
    <s v="NA"/>
    <s v="NA"/>
    <s v="EHS/HR"/>
    <m/>
    <m/>
  </r>
  <r>
    <m/>
    <s v="western Europe"/>
    <x v="4"/>
    <x v="7"/>
    <m/>
    <m/>
    <m/>
    <m/>
    <m/>
    <m/>
    <m/>
    <m/>
    <m/>
    <m/>
    <m/>
    <m/>
    <m/>
    <m/>
    <m/>
    <m/>
  </r>
  <r>
    <s v="CSR 42"/>
    <s v="America"/>
    <x v="5"/>
    <x v="8"/>
    <m/>
    <m/>
    <m/>
    <m/>
    <m/>
    <n v="4"/>
    <m/>
    <n v="801"/>
    <n v="0"/>
    <m/>
    <m/>
    <s v="NA"/>
    <s v="NA"/>
    <s v="HR"/>
    <m/>
    <m/>
  </r>
  <r>
    <s v="CSR 43"/>
    <s v="America"/>
    <x v="5"/>
    <x v="8"/>
    <m/>
    <m/>
    <m/>
    <m/>
    <m/>
    <n v="1"/>
    <m/>
    <n v="801"/>
    <n v="0"/>
    <m/>
    <m/>
    <s v="NA"/>
    <s v="NA"/>
    <s v="HR"/>
    <m/>
    <m/>
  </r>
  <r>
    <s v="CSR 44"/>
    <s v="America"/>
    <x v="5"/>
    <x v="8"/>
    <m/>
    <m/>
    <m/>
    <m/>
    <m/>
    <n v="1"/>
    <m/>
    <n v="801"/>
    <m/>
    <m/>
    <m/>
    <s v="NA"/>
    <s v="NA"/>
    <s v="HR"/>
    <m/>
    <m/>
  </r>
  <r>
    <s v="CSR 45"/>
    <s v="America"/>
    <x v="5"/>
    <x v="8"/>
    <m/>
    <m/>
    <m/>
    <m/>
    <m/>
    <n v="1"/>
    <m/>
    <n v="801"/>
    <n v="0"/>
    <m/>
    <m/>
    <s v="NA"/>
    <s v="NA"/>
    <s v="HR"/>
    <m/>
    <m/>
  </r>
  <r>
    <s v="CSR 46"/>
    <s v="America"/>
    <x v="5"/>
    <x v="8"/>
    <m/>
    <m/>
    <m/>
    <m/>
    <m/>
    <n v="1"/>
    <m/>
    <n v="801"/>
    <n v="0"/>
    <m/>
    <m/>
    <s v="NA"/>
    <s v="NA"/>
    <s v="HR"/>
    <m/>
    <m/>
  </r>
  <r>
    <s v="CSR 47"/>
    <s v="America"/>
    <x v="5"/>
    <x v="8"/>
    <m/>
    <m/>
    <m/>
    <m/>
    <m/>
    <n v="1"/>
    <m/>
    <n v="801"/>
    <n v="0"/>
    <m/>
    <m/>
    <s v="NA"/>
    <s v="NA"/>
    <s v="HR"/>
    <m/>
    <m/>
  </r>
  <r>
    <s v="CSR 48"/>
    <s v="America"/>
    <x v="5"/>
    <x v="8"/>
    <m/>
    <m/>
    <m/>
    <m/>
    <m/>
    <n v="1"/>
    <m/>
    <n v="801"/>
    <n v="0"/>
    <m/>
    <m/>
    <s v="NA"/>
    <s v="NA"/>
    <s v="HR"/>
    <m/>
    <m/>
  </r>
  <r>
    <s v="CSR 49"/>
    <s v="America"/>
    <x v="5"/>
    <x v="8"/>
    <m/>
    <m/>
    <m/>
    <m/>
    <m/>
    <n v="1"/>
    <m/>
    <n v="801"/>
    <n v="0"/>
    <m/>
    <m/>
    <n v="100"/>
    <s v="Person impacted"/>
    <s v="HR"/>
    <m/>
    <m/>
  </r>
  <r>
    <s v="CSR 50"/>
    <s v="America"/>
    <x v="5"/>
    <x v="8"/>
    <m/>
    <m/>
    <m/>
    <m/>
    <m/>
    <n v="1"/>
    <m/>
    <n v="801"/>
    <n v="0"/>
    <m/>
    <m/>
    <s v="NA"/>
    <s v="NA"/>
    <s v="HR"/>
    <m/>
    <m/>
  </r>
  <r>
    <s v="CSR 51"/>
    <s v="America"/>
    <x v="5"/>
    <x v="8"/>
    <m/>
    <m/>
    <m/>
    <m/>
    <m/>
    <n v="1"/>
    <m/>
    <n v="801"/>
    <n v="0"/>
    <m/>
    <m/>
    <s v="NA"/>
    <s v="NA"/>
    <s v="HR"/>
    <m/>
    <m/>
  </r>
  <r>
    <s v="CSR 52"/>
    <s v="America"/>
    <x v="5"/>
    <x v="8"/>
    <m/>
    <m/>
    <m/>
    <m/>
    <m/>
    <n v="1"/>
    <m/>
    <n v="801"/>
    <n v="0"/>
    <m/>
    <m/>
    <s v="NA"/>
    <s v="NA"/>
    <s v="HR"/>
    <m/>
    <m/>
  </r>
  <r>
    <s v="CSR 53"/>
    <s v="America"/>
    <x v="5"/>
    <x v="9"/>
    <m/>
    <m/>
    <m/>
    <m/>
    <m/>
    <n v="1"/>
    <m/>
    <n v="615"/>
    <n v="0"/>
    <m/>
    <m/>
    <s v="NA"/>
    <s v="NA"/>
    <s v="HR"/>
    <m/>
    <m/>
  </r>
  <r>
    <s v="CSR 54"/>
    <s v="America"/>
    <x v="5"/>
    <x v="9"/>
    <m/>
    <m/>
    <m/>
    <m/>
    <m/>
    <n v="1"/>
    <m/>
    <n v="615"/>
    <n v="0"/>
    <m/>
    <m/>
    <s v="NA"/>
    <s v="Bottle Caps"/>
    <s v="HR"/>
    <m/>
    <m/>
  </r>
  <r>
    <s v="CSR 55"/>
    <s v="America"/>
    <x v="5"/>
    <x v="9"/>
    <m/>
    <m/>
    <m/>
    <m/>
    <m/>
    <n v="1"/>
    <m/>
    <n v="615"/>
    <n v="0"/>
    <m/>
    <m/>
    <n v="200"/>
    <s v="Trees"/>
    <s v="HR"/>
    <m/>
    <m/>
  </r>
  <r>
    <s v="CSR 56"/>
    <s v="America"/>
    <x v="5"/>
    <x v="9"/>
    <m/>
    <m/>
    <m/>
    <m/>
    <m/>
    <n v="1"/>
    <m/>
    <n v="615"/>
    <n v="0"/>
    <m/>
    <m/>
    <s v="NA"/>
    <s v="NA"/>
    <s v="HR"/>
    <m/>
    <m/>
  </r>
  <r>
    <s v="CSR 57"/>
    <s v="America"/>
    <x v="5"/>
    <x v="9"/>
    <m/>
    <m/>
    <m/>
    <m/>
    <m/>
    <n v="1"/>
    <m/>
    <n v="615"/>
    <n v="0"/>
    <m/>
    <m/>
    <n v="100"/>
    <s v="Electronic equipment"/>
    <s v="HR"/>
    <m/>
    <m/>
  </r>
  <r>
    <s v="CSR 58"/>
    <s v="America"/>
    <x v="5"/>
    <x v="9"/>
    <m/>
    <m/>
    <m/>
    <m/>
    <m/>
    <n v="1"/>
    <m/>
    <n v="615"/>
    <n v="0"/>
    <m/>
    <m/>
    <s v="NA"/>
    <s v="NA"/>
    <s v="HR"/>
    <m/>
    <m/>
  </r>
  <r>
    <s v="CSR 59"/>
    <s v="America"/>
    <x v="5"/>
    <x v="9"/>
    <m/>
    <m/>
    <m/>
    <m/>
    <m/>
    <n v="1"/>
    <m/>
    <n v="615"/>
    <n v="0"/>
    <m/>
    <m/>
    <n v="25"/>
    <s v="units of blood"/>
    <s v="HR"/>
    <m/>
    <m/>
  </r>
  <r>
    <s v="CSR 60"/>
    <s v="America"/>
    <x v="5"/>
    <x v="9"/>
    <m/>
    <m/>
    <m/>
    <m/>
    <m/>
    <n v="1"/>
    <m/>
    <n v="615"/>
    <n v="0"/>
    <m/>
    <m/>
    <s v="NA"/>
    <s v="NA"/>
    <s v="HR"/>
    <m/>
    <m/>
  </r>
  <r>
    <s v="CSR 61"/>
    <s v="America"/>
    <x v="5"/>
    <x v="9"/>
    <m/>
    <m/>
    <m/>
    <m/>
    <m/>
    <n v="1"/>
    <m/>
    <n v="615"/>
    <n v="0"/>
    <m/>
    <m/>
    <n v="20"/>
    <s v="books"/>
    <s v="HR"/>
    <m/>
    <m/>
  </r>
  <r>
    <s v="CSR 62"/>
    <s v="America"/>
    <x v="5"/>
    <x v="9"/>
    <m/>
    <m/>
    <m/>
    <m/>
    <m/>
    <n v="1"/>
    <m/>
    <n v="615"/>
    <n v="0"/>
    <m/>
    <m/>
    <n v="15"/>
    <s v="Mammograms"/>
    <s v="HR"/>
    <m/>
    <m/>
  </r>
  <r>
    <s v="CSR 63"/>
    <s v="America"/>
    <x v="5"/>
    <x v="10"/>
    <m/>
    <m/>
    <m/>
    <m/>
    <m/>
    <n v="1"/>
    <m/>
    <n v="387"/>
    <n v="0"/>
    <m/>
    <m/>
    <n v="20"/>
    <s v="units of blood"/>
    <s v="HR"/>
    <m/>
    <m/>
  </r>
  <r>
    <s v="CSR 64"/>
    <s v="America"/>
    <x v="5"/>
    <x v="10"/>
    <m/>
    <m/>
    <m/>
    <m/>
    <m/>
    <n v="1"/>
    <m/>
    <n v="387"/>
    <n v="0"/>
    <m/>
    <m/>
    <s v="NA"/>
    <s v="NA"/>
    <s v="HR"/>
    <m/>
    <m/>
  </r>
  <r>
    <s v="CSR 65"/>
    <s v="America"/>
    <x v="5"/>
    <x v="10"/>
    <m/>
    <m/>
    <m/>
    <m/>
    <m/>
    <n v="1"/>
    <m/>
    <n v="387"/>
    <n v="0"/>
    <m/>
    <m/>
    <s v="NA"/>
    <s v="NA"/>
    <s v="HR"/>
    <m/>
    <m/>
  </r>
  <r>
    <s v="CSR 66"/>
    <s v="America"/>
    <x v="5"/>
    <x v="10"/>
    <m/>
    <m/>
    <m/>
    <m/>
    <m/>
    <n v="1"/>
    <m/>
    <n v="387"/>
    <n v="0"/>
    <m/>
    <m/>
    <n v="200"/>
    <s v="Chairs restores"/>
    <s v="HR"/>
    <m/>
    <m/>
  </r>
  <r>
    <s v="CSR 67"/>
    <s v="America"/>
    <x v="5"/>
    <x v="10"/>
    <m/>
    <m/>
    <m/>
    <m/>
    <m/>
    <n v="1"/>
    <m/>
    <n v="387"/>
    <n v="0"/>
    <m/>
    <m/>
    <s v="NA"/>
    <s v="NA"/>
    <s v="HR"/>
    <m/>
    <m/>
  </r>
  <r>
    <s v="CSR 68"/>
    <s v="America"/>
    <x v="5"/>
    <x v="10"/>
    <m/>
    <m/>
    <m/>
    <m/>
    <m/>
    <n v="1"/>
    <m/>
    <n v="387"/>
    <n v="0"/>
    <m/>
    <m/>
    <n v="94"/>
    <s v="Doses of Vaccines"/>
    <s v="HR"/>
    <m/>
    <m/>
  </r>
  <r>
    <s v="CSR 69"/>
    <s v="America"/>
    <x v="5"/>
    <x v="10"/>
    <m/>
    <m/>
    <m/>
    <m/>
    <m/>
    <n v="1"/>
    <m/>
    <n v="387"/>
    <n v="0"/>
    <m/>
    <m/>
    <s v="NA"/>
    <s v="NA"/>
    <s v="HR"/>
    <m/>
    <m/>
  </r>
  <r>
    <s v="CSR 70"/>
    <s v="America"/>
    <x v="5"/>
    <x v="10"/>
    <m/>
    <m/>
    <m/>
    <m/>
    <m/>
    <n v="1"/>
    <m/>
    <n v="387"/>
    <n v="0"/>
    <m/>
    <m/>
    <s v="NA"/>
    <s v="NA"/>
    <s v="HR"/>
    <m/>
    <m/>
  </r>
  <r>
    <s v="CSR 71"/>
    <s v="America"/>
    <x v="5"/>
    <x v="10"/>
    <m/>
    <m/>
    <m/>
    <m/>
    <m/>
    <n v="1"/>
    <m/>
    <n v="387"/>
    <n v="0"/>
    <m/>
    <m/>
    <s v="NA"/>
    <s v="NA"/>
    <s v="HR"/>
    <m/>
    <m/>
  </r>
  <r>
    <s v="CSR 72"/>
    <s v="America"/>
    <x v="5"/>
    <x v="10"/>
    <m/>
    <m/>
    <m/>
    <m/>
    <m/>
    <n v="1"/>
    <m/>
    <n v="387"/>
    <n v="0"/>
    <m/>
    <m/>
    <s v="NA"/>
    <s v="NA"/>
    <s v="HR"/>
    <m/>
    <m/>
  </r>
  <r>
    <s v="CSR 73"/>
    <s v="America"/>
    <x v="5"/>
    <x v="10"/>
    <m/>
    <m/>
    <m/>
    <m/>
    <m/>
    <n v="1"/>
    <m/>
    <n v="387"/>
    <n v="0"/>
    <m/>
    <m/>
    <s v="NA"/>
    <s v="NA"/>
    <s v="HR"/>
    <m/>
    <m/>
  </r>
  <r>
    <s v="CSR 74"/>
    <s v="America"/>
    <x v="5"/>
    <x v="11"/>
    <m/>
    <m/>
    <m/>
    <m/>
    <m/>
    <n v="1"/>
    <m/>
    <n v="387"/>
    <n v="0"/>
    <m/>
    <m/>
    <s v="NA"/>
    <s v="NA"/>
    <s v="HR"/>
    <m/>
    <m/>
  </r>
  <r>
    <s v="CSR 75"/>
    <s v="America"/>
    <x v="5"/>
    <x v="11"/>
    <m/>
    <m/>
    <m/>
    <m/>
    <m/>
    <n v="1"/>
    <m/>
    <n v="870"/>
    <n v="0"/>
    <m/>
    <m/>
    <s v="NA"/>
    <s v="NA"/>
    <s v="HR"/>
    <m/>
    <m/>
  </r>
  <r>
    <s v="CSR 76"/>
    <s v="North Africa"/>
    <x v="6"/>
    <x v="12"/>
    <m/>
    <m/>
    <m/>
    <m/>
    <m/>
    <n v="2"/>
    <m/>
    <n v="698"/>
    <n v="0"/>
    <m/>
    <m/>
    <n v="13"/>
    <s v="Women exposed"/>
    <s v="CSR Committe"/>
    <m/>
    <m/>
  </r>
  <r>
    <s v="CSR 77"/>
    <s v="North Africa"/>
    <x v="6"/>
    <x v="12"/>
    <m/>
    <m/>
    <m/>
    <m/>
    <m/>
    <n v="1"/>
    <m/>
    <n v="698"/>
    <n v="0"/>
    <m/>
    <m/>
    <n v="24"/>
    <s v="childrens"/>
    <s v="HR"/>
    <m/>
    <m/>
  </r>
  <r>
    <s v="CSR 78"/>
    <s v="North Africa"/>
    <x v="6"/>
    <x v="12"/>
    <m/>
    <m/>
    <m/>
    <m/>
    <m/>
    <n v="3"/>
    <m/>
    <n v="698"/>
    <n v="0"/>
    <m/>
    <m/>
    <n v="1600"/>
    <s v="Students "/>
    <s v="CSR Committe"/>
    <m/>
    <m/>
  </r>
  <r>
    <s v="CSR 79"/>
    <s v="North Africa"/>
    <x v="6"/>
    <x v="12"/>
    <m/>
    <m/>
    <m/>
    <m/>
    <m/>
    <n v="1"/>
    <m/>
    <n v="698"/>
    <n v="0"/>
    <m/>
    <m/>
    <n v="224"/>
    <s v="KG of waste"/>
    <s v="CSR Committe"/>
    <m/>
    <m/>
  </r>
  <r>
    <s v="CSR 80"/>
    <s v="North Africa"/>
    <x v="6"/>
    <x v="12"/>
    <m/>
    <m/>
    <m/>
    <m/>
    <m/>
    <n v="1"/>
    <m/>
    <n v="698"/>
    <n v="0"/>
    <m/>
    <m/>
    <n v="2"/>
    <s v="Classrooms built"/>
    <s v="HR"/>
    <m/>
    <m/>
  </r>
  <r>
    <s v="CSR 81"/>
    <s v="North Africa"/>
    <x v="6"/>
    <x v="12"/>
    <m/>
    <m/>
    <m/>
    <m/>
    <m/>
    <n v="1"/>
    <m/>
    <n v="698"/>
    <n v="0"/>
    <m/>
    <m/>
    <n v="51"/>
    <s v="units of blood"/>
    <s v="HR"/>
    <m/>
    <m/>
  </r>
  <r>
    <s v="CSR 82"/>
    <s v="North Africa"/>
    <x v="6"/>
    <x v="12"/>
    <m/>
    <m/>
    <m/>
    <m/>
    <m/>
    <n v="1"/>
    <m/>
    <n v="698"/>
    <n v="0"/>
    <m/>
    <m/>
    <n v="50"/>
    <s v="families in need"/>
    <s v="HR"/>
    <m/>
    <m/>
  </r>
  <r>
    <s v="CSR 83"/>
    <s v="North Africa"/>
    <x v="6"/>
    <x v="12"/>
    <m/>
    <m/>
    <m/>
    <m/>
    <m/>
    <n v="1"/>
    <m/>
    <n v="698"/>
    <n v="0"/>
    <m/>
    <m/>
    <n v="430"/>
    <s v="Women benefited"/>
    <s v="CSR Committe"/>
    <m/>
    <m/>
  </r>
  <r>
    <s v="CSR 84"/>
    <s v="North Africa"/>
    <x v="6"/>
    <x v="12"/>
    <m/>
    <m/>
    <m/>
    <m/>
    <m/>
    <n v="1"/>
    <m/>
    <n v="698"/>
    <n v="0"/>
    <m/>
    <m/>
    <n v="5000"/>
    <s v="Trees"/>
    <s v="CSR Committe"/>
    <m/>
    <m/>
  </r>
  <r>
    <s v="CSR 85"/>
    <s v="North Africa"/>
    <x v="6"/>
    <x v="12"/>
    <m/>
    <m/>
    <m/>
    <m/>
    <m/>
    <n v="1"/>
    <m/>
    <n v="698"/>
    <n v="0"/>
    <m/>
    <m/>
    <s v="NA"/>
    <s v="NA"/>
    <s v="HR"/>
    <m/>
    <m/>
  </r>
  <r>
    <s v="CSR 86"/>
    <s v="North Africa"/>
    <x v="6"/>
    <x v="12"/>
    <m/>
    <m/>
    <m/>
    <m/>
    <m/>
    <n v="1"/>
    <m/>
    <n v="698"/>
    <n v="0"/>
    <m/>
    <m/>
    <s v="NA"/>
    <s v="NA"/>
    <s v="HR"/>
    <m/>
    <m/>
  </r>
  <r>
    <s v="CSR 87"/>
    <s v="North Africa"/>
    <x v="6"/>
    <x v="13"/>
    <m/>
    <m/>
    <m/>
    <m/>
    <m/>
    <n v="1"/>
    <m/>
    <n v="314"/>
    <n v="0"/>
    <m/>
    <m/>
    <n v="4"/>
    <s v="Textile Machines"/>
    <s v="HR"/>
    <m/>
    <m/>
  </r>
  <r>
    <s v="CSR 87"/>
    <s v="North Africa"/>
    <x v="6"/>
    <x v="13"/>
    <m/>
    <m/>
    <m/>
    <m/>
    <m/>
    <n v="1"/>
    <m/>
    <n v="314"/>
    <n v="0"/>
    <m/>
    <m/>
    <n v="6"/>
    <s v="Small businesses"/>
    <s v="HR"/>
    <m/>
    <m/>
  </r>
  <r>
    <s v="CSR 88"/>
    <s v="North Africa"/>
    <x v="6"/>
    <x v="13"/>
    <m/>
    <m/>
    <m/>
    <m/>
    <m/>
    <n v="1"/>
    <m/>
    <n v="314"/>
    <n v="0"/>
    <m/>
    <m/>
    <n v="5"/>
    <s v="Participants"/>
    <s v="HR"/>
    <m/>
    <m/>
  </r>
  <r>
    <s v="CSR 89"/>
    <s v="North Africa"/>
    <x v="6"/>
    <x v="13"/>
    <m/>
    <m/>
    <m/>
    <m/>
    <m/>
    <n v="1"/>
    <m/>
    <n v="314"/>
    <n v="0"/>
    <m/>
    <m/>
    <n v="30"/>
    <s v="Children"/>
    <s v="HR"/>
    <m/>
    <m/>
  </r>
  <r>
    <s v="CSR 90"/>
    <s v="North Africa"/>
    <x v="6"/>
    <x v="13"/>
    <m/>
    <m/>
    <m/>
    <m/>
    <m/>
    <n v="1"/>
    <m/>
    <n v="314"/>
    <n v="0"/>
    <m/>
    <m/>
    <n v="0"/>
    <n v="0"/>
    <s v="HR"/>
    <m/>
    <m/>
  </r>
  <r>
    <s v="CSR 91"/>
    <s v="North Africa"/>
    <x v="6"/>
    <x v="13"/>
    <m/>
    <m/>
    <m/>
    <m/>
    <m/>
    <n v="1"/>
    <m/>
    <n v="314"/>
    <n v="0"/>
    <m/>
    <m/>
    <s v="NA"/>
    <s v="NA"/>
    <s v="EHS"/>
    <m/>
    <m/>
  </r>
  <r>
    <s v="CSR 92"/>
    <s v="North Africa"/>
    <x v="6"/>
    <x v="13"/>
    <m/>
    <m/>
    <m/>
    <m/>
    <m/>
    <n v="1"/>
    <m/>
    <n v="314"/>
    <n v="0"/>
    <m/>
    <m/>
    <n v="100"/>
    <s v="citizens"/>
    <s v="HR"/>
    <m/>
    <m/>
  </r>
  <r>
    <s v="CSR 93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n v="2500"/>
    <s v="Trees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4"/>
    <s v="North Africa"/>
    <x v="6"/>
    <x v="13"/>
    <m/>
    <m/>
    <m/>
    <m/>
    <m/>
    <n v="1"/>
    <m/>
    <n v="314"/>
    <n v="0"/>
    <m/>
    <m/>
    <s v="NA"/>
    <s v="NA"/>
    <s v="HR"/>
    <m/>
    <m/>
  </r>
  <r>
    <s v="CSR 95"/>
    <s v="North Africa"/>
    <x v="7"/>
    <x v="14"/>
    <m/>
    <m/>
    <m/>
    <m/>
    <m/>
    <n v="1"/>
    <m/>
    <n v="516"/>
    <n v="0"/>
    <m/>
    <m/>
    <n v="10"/>
    <s v="Students participated"/>
    <s v="CSR Committe"/>
    <m/>
    <m/>
  </r>
  <r>
    <s v="CSR 96"/>
    <s v="North Africa"/>
    <x v="7"/>
    <x v="14"/>
    <m/>
    <m/>
    <m/>
    <m/>
    <m/>
    <n v="1"/>
    <m/>
    <n v="516"/>
    <n v="0"/>
    <m/>
    <m/>
    <n v="62"/>
    <s v="blood bags"/>
    <s v="CSR Committe"/>
    <m/>
    <m/>
  </r>
  <r>
    <s v="CSR 97"/>
    <s v="North Africa"/>
    <x v="7"/>
    <x v="14"/>
    <m/>
    <m/>
    <m/>
    <m/>
    <m/>
    <n v="1"/>
    <m/>
    <n v="516"/>
    <n v="0"/>
    <m/>
    <m/>
    <s v="700 Kg"/>
    <s v="Waste collected"/>
    <s v="CSR Committe"/>
    <m/>
    <m/>
  </r>
  <r>
    <s v="CSR 98"/>
    <s v="North Africa"/>
    <x v="7"/>
    <x v="14"/>
    <m/>
    <m/>
    <m/>
    <m/>
    <m/>
    <n v="1"/>
    <m/>
    <n v="516"/>
    <n v="0"/>
    <m/>
    <m/>
    <n v="72"/>
    <s v="Women benefited"/>
    <s v="CSR Committe"/>
    <m/>
    <m/>
  </r>
  <r>
    <s v="CSR 99"/>
    <s v="North Africa"/>
    <x v="7"/>
    <x v="14"/>
    <m/>
    <m/>
    <m/>
    <m/>
    <m/>
    <n v="1"/>
    <m/>
    <n v="516"/>
    <n v="0"/>
    <m/>
    <m/>
    <n v="3"/>
    <s v="Small businesses"/>
    <s v="CSR Committe"/>
    <m/>
    <m/>
  </r>
  <r>
    <s v="CSR 100"/>
    <s v="North Africa"/>
    <x v="7"/>
    <x v="14"/>
    <m/>
    <m/>
    <m/>
    <m/>
    <m/>
    <n v="1"/>
    <m/>
    <n v="516"/>
    <n v="0"/>
    <m/>
    <m/>
    <n v="17"/>
    <s v="children"/>
    <s v="CSR Committe"/>
    <m/>
    <m/>
  </r>
  <r>
    <s v="CSR 101"/>
    <s v="North Africa"/>
    <x v="7"/>
    <x v="15"/>
    <m/>
    <m/>
    <m/>
    <m/>
    <m/>
    <n v="1"/>
    <m/>
    <n v="506"/>
    <n v="0"/>
    <m/>
    <m/>
    <n v="10"/>
    <s v="Students participated"/>
    <s v="CSR Committe"/>
    <m/>
    <m/>
  </r>
  <r>
    <s v="CSR 102"/>
    <s v="North Africa"/>
    <x v="7"/>
    <x v="15"/>
    <m/>
    <m/>
    <m/>
    <m/>
    <m/>
    <n v="1"/>
    <m/>
    <n v="506"/>
    <n v="0"/>
    <m/>
    <m/>
    <n v="65"/>
    <s v="Women"/>
    <s v="HR/COM"/>
    <m/>
    <m/>
  </r>
  <r>
    <s v="CSR 103"/>
    <s v="North Africa"/>
    <x v="7"/>
    <x v="15"/>
    <m/>
    <m/>
    <m/>
    <m/>
    <m/>
    <n v="1"/>
    <m/>
    <n v="506"/>
    <n v="0"/>
    <m/>
    <m/>
    <n v="3"/>
    <s v="Women Cooperatives"/>
    <s v="HR/COM"/>
    <m/>
    <m/>
  </r>
  <r>
    <s v="CSR 104"/>
    <s v="North Africa"/>
    <x v="7"/>
    <x v="15"/>
    <m/>
    <m/>
    <m/>
    <m/>
    <m/>
    <n v="1"/>
    <m/>
    <n v="506"/>
    <n v="0"/>
    <m/>
    <m/>
    <n v="2"/>
    <s v="Families in need"/>
    <s v="HR/COM"/>
    <m/>
    <m/>
  </r>
  <r>
    <s v="CSR 105"/>
    <s v="North Africa"/>
    <x v="7"/>
    <x v="15"/>
    <m/>
    <m/>
    <m/>
    <m/>
    <m/>
    <n v="1"/>
    <m/>
    <n v="506"/>
    <n v="0"/>
    <m/>
    <m/>
    <n v="220"/>
    <s v="Students"/>
    <s v="HR/COM"/>
    <m/>
    <m/>
  </r>
  <r>
    <s v="CSR 106"/>
    <s v="North Africa"/>
    <x v="7"/>
    <x v="15"/>
    <m/>
    <m/>
    <m/>
    <m/>
    <m/>
    <n v="1"/>
    <m/>
    <n v="506"/>
    <n v="0"/>
    <m/>
    <m/>
    <s v="NA"/>
    <s v="NA"/>
    <s v="HR/COM"/>
    <m/>
    <m/>
  </r>
  <r>
    <s v="CSR 107"/>
    <s v="North Africa"/>
    <x v="7"/>
    <x v="15"/>
    <m/>
    <m/>
    <m/>
    <m/>
    <m/>
    <n v="1"/>
    <m/>
    <n v="506"/>
    <n v="0"/>
    <m/>
    <m/>
    <s v="NA"/>
    <s v="NA"/>
    <s v="HR/COM"/>
    <m/>
    <m/>
  </r>
  <r>
    <s v="CSR 108"/>
    <s v="North Africa"/>
    <x v="7"/>
    <x v="15"/>
    <m/>
    <m/>
    <m/>
    <m/>
    <m/>
    <n v="1"/>
    <m/>
    <n v="506"/>
    <n v="0"/>
    <m/>
    <m/>
    <n v="3"/>
    <s v="blood bags"/>
    <s v="HR/COM"/>
    <m/>
    <m/>
  </r>
  <r>
    <s v="Total"/>
    <m/>
    <x v="0"/>
    <x v="0"/>
    <m/>
    <s v="P"/>
    <m/>
    <m/>
    <m/>
    <m/>
    <n v="1275"/>
    <m/>
    <n v="3.7072837949741096E-2"/>
    <n v="0"/>
    <n v="7277"/>
    <m/>
    <m/>
    <m/>
    <n v="13"/>
    <m/>
  </r>
  <r>
    <m/>
    <m/>
    <x v="0"/>
    <x v="0"/>
    <s v="113 CSR Actions Globally"/>
    <s v="Environment"/>
    <s v="4 Actions"/>
    <m/>
    <n v="3.5398230088495575E-2"/>
    <m/>
    <m/>
    <m/>
    <m/>
    <m/>
    <m/>
    <m/>
    <m/>
    <m/>
    <m/>
    <m/>
  </r>
  <r>
    <m/>
    <m/>
    <x v="0"/>
    <x v="0"/>
    <m/>
    <s v="Education"/>
    <s v="2 Actions"/>
    <m/>
    <n v="1.7699115044247787E-2"/>
    <m/>
    <m/>
    <m/>
    <m/>
    <m/>
    <m/>
    <m/>
    <m/>
    <m/>
    <m/>
    <m/>
  </r>
  <r>
    <m/>
    <m/>
    <x v="0"/>
    <x v="0"/>
    <m/>
    <s v="Health"/>
    <s v="3 Actions"/>
    <m/>
    <n v="2.6548672566371681E-2"/>
    <m/>
    <m/>
    <m/>
    <m/>
    <m/>
    <m/>
    <m/>
    <m/>
    <m/>
    <m/>
    <m/>
  </r>
  <r>
    <m/>
    <m/>
    <x v="0"/>
    <x v="0"/>
    <m/>
    <s v="Sports"/>
    <s v="2 Actions"/>
    <m/>
    <n v="1.7699115044247787E-2"/>
    <m/>
    <m/>
    <m/>
    <m/>
    <m/>
    <m/>
    <m/>
    <m/>
    <m/>
    <m/>
    <m/>
  </r>
  <r>
    <m/>
    <m/>
    <x v="0"/>
    <x v="0"/>
    <m/>
    <s v="Social"/>
    <s v="4 Actions"/>
    <m/>
    <n v="3.5398230088495575E-2"/>
    <m/>
    <m/>
    <m/>
    <m/>
    <m/>
    <m/>
    <m/>
    <m/>
    <m/>
    <m/>
    <m/>
  </r>
  <r>
    <m/>
    <m/>
    <x v="0"/>
    <x v="0"/>
    <m/>
    <s v="Others"/>
    <s v="0 Actions"/>
    <m/>
    <n v="0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m/>
    <m/>
    <x v="0"/>
    <m/>
    <m/>
    <x v="0"/>
    <m/>
    <m/>
    <m/>
    <m/>
    <m/>
    <m/>
    <m/>
    <m/>
    <m/>
    <m/>
    <m/>
    <m/>
    <m/>
    <m/>
  </r>
  <r>
    <s v="CSR 1"/>
    <s v="EE"/>
    <x v="1"/>
    <s v="Serbia"/>
    <s v="Donation for “Be Human” foundation "/>
    <x v="1"/>
    <s v="Charity/Donation"/>
    <n v="2022"/>
    <n v="2024"/>
    <n v="1"/>
    <n v="0"/>
    <n v="307"/>
    <n v="0"/>
    <m/>
    <n v="300"/>
    <n v="12"/>
    <s v="Child"/>
    <s v="HR"/>
    <s v="Humanitarian Foundation „ Be Human- Aleksandar Šapić "/>
    <n v="1"/>
  </r>
  <r>
    <s v="CSR 2"/>
    <s v="EE"/>
    <x v="1"/>
    <s v="Serbia"/>
    <s v="Donation – the Womens Association „Kraljevčanke“"/>
    <x v="1"/>
    <s v="Charity/Donation"/>
    <m/>
    <n v="2024"/>
    <n v="1"/>
    <n v="2"/>
    <n v="307"/>
    <n v="6.5146579804560263E-3"/>
    <m/>
    <n v="170"/>
    <s v="NA"/>
    <s v="NA"/>
    <s v="HR"/>
    <s v="Women’s Association „Kraljevčanke“ from Kraljevc"/>
    <n v="1"/>
  </r>
  <r>
    <s v="CSR 3"/>
    <s v="EE"/>
    <x v="1"/>
    <s v="Serbia"/>
    <s v="Donation- Technical School "/>
    <x v="2"/>
    <s v="Charity/Donation"/>
    <m/>
    <n v="2022"/>
    <n v="3"/>
    <n v="3"/>
    <n v="307"/>
    <n v="9.7719869706840382E-3"/>
    <m/>
    <n v="475"/>
    <n v="160"/>
    <s v="Sports wear"/>
    <s v="HR"/>
    <s v="Technical School Stara Pazova "/>
    <n v="1"/>
  </r>
  <r>
    <s v="CSR 4"/>
    <s v="EE"/>
    <x v="1"/>
    <s v="Serbia"/>
    <s v="Donation- Svratište "/>
    <x v="1"/>
    <s v="Charity/Donation"/>
    <m/>
    <n v="2023"/>
    <n v="2"/>
    <n v="300"/>
    <n v="307"/>
    <n v="0.9771986970684039"/>
    <m/>
    <n v="0"/>
    <n v="0"/>
    <s v="Clothes"/>
    <s v="HR"/>
    <s v="Center for Youth Integration in Belgrade"/>
    <n v="1"/>
  </r>
  <r>
    <s v="CSR 5"/>
    <s v="EE"/>
    <x v="1"/>
    <s v="Serbia"/>
    <s v="World Environment day- planting trees and cleaning action"/>
    <x v="3"/>
    <s v="Partnership"/>
    <m/>
    <n v="2024"/>
    <n v="1"/>
    <n v="20"/>
    <n v="307"/>
    <n v="6.5146579804560262E-2"/>
    <m/>
    <n v="710"/>
    <n v="120"/>
    <s v="Trees"/>
    <s v="HR &amp; EHS"/>
    <s v="World Environment day- planting trees and cleaning action_x000a_kindergarten in Surčin._x000a_Nautical Village "/>
    <n v="3"/>
  </r>
  <r>
    <s v="CSR 6"/>
    <s v="EE"/>
    <x v="1"/>
    <s v="Serbia"/>
    <s v="Donating cables – „Road Arrow„"/>
    <x v="4"/>
    <s v="Sponsorship"/>
    <m/>
    <n v="2024"/>
    <n v="1"/>
    <n v="3"/>
    <n v="307"/>
    <n v="9.7719869706840382E-3"/>
    <m/>
    <n v="200"/>
    <s v="NA"/>
    <s v="Cables"/>
    <s v="HR"/>
    <s v="Serbian Formula Student team „ Road Arrow"/>
    <n v="1"/>
  </r>
  <r>
    <s v="CSR 7"/>
    <s v="EE"/>
    <x v="1"/>
    <s v="Serbia"/>
    <s v="Air conditioners donation- Golubinci school"/>
    <x v="4"/>
    <s v="Charity/Donation"/>
    <m/>
    <n v="2022"/>
    <n v="2"/>
    <n v="5"/>
    <n v="307"/>
    <n v="1.6286644951140065E-2"/>
    <m/>
    <n v="1330"/>
    <n v="4"/>
    <s v="Air conditioners"/>
    <s v="HR"/>
    <s v="elementary school &quot;23. oktobar"/>
    <n v="1"/>
  </r>
  <r>
    <s v="CSR 8"/>
    <s v="EE"/>
    <x v="1"/>
    <s v="Serbia"/>
    <s v="Donation- Drop-in shelter center"/>
    <x v="1"/>
    <s v="Charity/Donation"/>
    <m/>
    <n v="2024"/>
    <n v="1"/>
    <n v="300"/>
    <n v="307"/>
    <n v="0.9771986970684039"/>
    <m/>
    <n v="0"/>
    <n v="4"/>
    <s v="Clothes"/>
    <s v="HR"/>
    <s v="center's Drop-In Shelter "/>
    <n v="1"/>
  </r>
  <r>
    <s v="CSR 9"/>
    <s v="EE"/>
    <x v="1"/>
    <s v="Serbia"/>
    <s v="Pink October"/>
    <x v="5"/>
    <s v="Sponsorship"/>
    <m/>
    <n v="2024"/>
    <n v="1"/>
    <n v="1"/>
    <n v="307"/>
    <n v="3.2573289902280132E-3"/>
    <m/>
    <n v="1307"/>
    <n v="50"/>
    <s v="Free breast examinations"/>
    <s v="HR"/>
    <s v="health institute &quot;Medica Nova"/>
    <n v="1"/>
  </r>
  <r>
    <s v="CSR 10"/>
    <s v="EE"/>
    <x v="1"/>
    <s v="Serbia"/>
    <s v="Blood Donation"/>
    <x v="5"/>
    <s v="Charity/Donation"/>
    <m/>
    <n v="2023"/>
    <n v="2"/>
    <n v="10"/>
    <n v="307"/>
    <n v="3.2573289902280131E-2"/>
    <m/>
    <n v="285"/>
    <n v="50"/>
    <s v="blood bags"/>
    <s v="HR"/>
    <s v="Blood Transfusion Institute Serbia"/>
    <n v="1"/>
  </r>
  <r>
    <s v="CSR 11"/>
    <s v="EE"/>
    <x v="1"/>
    <s v="Serbia"/>
    <s v="Battery recycling"/>
    <x v="3"/>
    <s v="Others"/>
    <m/>
    <n v="2023"/>
    <n v="2"/>
    <n v="300"/>
    <n v="307"/>
    <n v="0.9771986970684039"/>
    <m/>
    <n v="0"/>
    <n v="30"/>
    <s v="Kg of battery waste"/>
    <s v="HR"/>
    <s v="NA"/>
    <n v="0"/>
  </r>
  <r>
    <s v="CSR 12"/>
    <s v="EE"/>
    <x v="1"/>
    <s v="Serbia"/>
    <s v="Cap for handicap"/>
    <x v="3"/>
    <s v="Others"/>
    <m/>
    <n v="2023"/>
    <n v="2"/>
    <n v="250"/>
    <n v="307"/>
    <n v="0.81433224755700329"/>
    <m/>
    <n v="0"/>
    <n v="30"/>
    <s v="Kg of plastic caps"/>
    <s v="HR/EHS"/>
    <s v="NA"/>
    <n v="0"/>
  </r>
  <r>
    <s v="CSR 13"/>
    <s v="EE"/>
    <x v="2"/>
    <s v="Ploeisti"/>
    <s v="Anti-drug awareness campaigns in Coficab"/>
    <x v="5"/>
    <s v="Others"/>
    <m/>
    <n v="2024"/>
    <n v="1"/>
    <n v="66"/>
    <n v="307"/>
    <n v="0.21498371335504887"/>
    <m/>
    <n v="0"/>
    <n v="0"/>
    <s v="NA"/>
    <s v="HR/EHS"/>
    <s v="NA"/>
    <n v="0"/>
  </r>
  <r>
    <s v="CSR 14"/>
    <s v="EE"/>
    <x v="2"/>
    <s v="Ploeisti"/>
    <s v="Donating equipment to a sports club for children"/>
    <x v="2"/>
    <s v="Charity/Donation"/>
    <m/>
    <n v="2024"/>
    <n v="1"/>
    <n v="0"/>
    <n v="307"/>
    <n v="0"/>
    <m/>
    <n v="1000"/>
    <n v="0"/>
    <n v="0"/>
    <s v="HR"/>
    <s v="sports club for children"/>
    <n v="1"/>
  </r>
  <r>
    <s v="CSR 15"/>
    <s v="EE"/>
    <x v="2"/>
    <s v="Ploeisti"/>
    <s v="Rehabilitation of a playground for an educational facility in an educational institution"/>
    <x v="3"/>
    <s v="Partnership"/>
    <m/>
    <n v="2024"/>
    <n v="1"/>
    <n v="15"/>
    <n v="313"/>
    <n v="4.7923322683706068E-2"/>
    <m/>
    <n v="1500"/>
    <s v="NA"/>
    <s v="Cables"/>
    <s v="HR"/>
    <m/>
    <m/>
  </r>
  <r>
    <s v="CSR 16"/>
    <s v="EE"/>
    <x v="2"/>
    <s v="Ploeisti"/>
    <m/>
    <x v="0"/>
    <m/>
    <m/>
    <m/>
    <n v="1"/>
    <m/>
    <n v="313"/>
    <n v="0"/>
    <m/>
    <m/>
    <s v="NA"/>
    <s v="Clothing"/>
    <s v="HR"/>
    <m/>
    <m/>
  </r>
  <r>
    <s v="CSR 17"/>
    <s v="EE"/>
    <x v="2"/>
    <s v="Ploeisti"/>
    <m/>
    <x v="0"/>
    <m/>
    <m/>
    <m/>
    <n v="1"/>
    <m/>
    <n v="313"/>
    <n v="0"/>
    <m/>
    <m/>
    <s v="NA "/>
    <s v="NA"/>
    <s v="HR"/>
    <m/>
    <m/>
  </r>
  <r>
    <s v="CSR 18"/>
    <s v="EE"/>
    <x v="2"/>
    <s v="Ploeisti"/>
    <m/>
    <x v="0"/>
    <m/>
    <m/>
    <m/>
    <n v="1"/>
    <m/>
    <n v="313"/>
    <n v="0"/>
    <m/>
    <m/>
    <n v="200"/>
    <s v="Trees"/>
    <s v="EHS"/>
    <m/>
    <m/>
  </r>
  <r>
    <s v="CSR 19"/>
    <s v="EE"/>
    <x v="2"/>
    <s v="Romania"/>
    <m/>
    <x v="0"/>
    <m/>
    <m/>
    <m/>
    <n v="1"/>
    <m/>
    <n v="411"/>
    <n v="0"/>
    <m/>
    <m/>
    <s v="NA"/>
    <s v="NA"/>
    <s v="HR"/>
    <m/>
    <m/>
  </r>
  <r>
    <s v="CSR 20"/>
    <s v="EE"/>
    <x v="2"/>
    <s v="Romania"/>
    <m/>
    <x v="0"/>
    <m/>
    <m/>
    <m/>
    <n v="1"/>
    <m/>
    <n v="411"/>
    <n v="0"/>
    <m/>
    <m/>
    <s v="NA"/>
    <s v="NA"/>
    <s v="HR"/>
    <m/>
    <m/>
  </r>
  <r>
    <s v="CSR 21"/>
    <s v="EE"/>
    <x v="2"/>
    <s v="Romania"/>
    <m/>
    <x v="0"/>
    <m/>
    <m/>
    <m/>
    <n v="1"/>
    <m/>
    <n v="411"/>
    <n v="0"/>
    <m/>
    <m/>
    <s v="NA"/>
    <s v="NA"/>
    <s v="HR"/>
    <m/>
    <m/>
  </r>
  <r>
    <s v="CSR 22"/>
    <s v="EE"/>
    <x v="2"/>
    <s v="Romania"/>
    <m/>
    <x v="0"/>
    <m/>
    <m/>
    <m/>
    <n v="1"/>
    <m/>
    <n v="411"/>
    <n v="0"/>
    <m/>
    <m/>
    <n v="10"/>
    <s v="Bags of clothes"/>
    <s v="HR"/>
    <m/>
    <m/>
  </r>
  <r>
    <s v="CSR 23"/>
    <s v="EE"/>
    <x v="2"/>
    <s v="Romania"/>
    <m/>
    <x v="0"/>
    <m/>
    <m/>
    <m/>
    <n v="1"/>
    <m/>
    <n v="411"/>
    <n v="0"/>
    <m/>
    <m/>
    <s v="NA"/>
    <s v="NA"/>
    <s v="HR"/>
    <m/>
    <m/>
  </r>
  <r>
    <s v="CSR 24"/>
    <s v="EE"/>
    <x v="2"/>
    <s v="Romania"/>
    <m/>
    <x v="0"/>
    <m/>
    <m/>
    <m/>
    <n v="1"/>
    <m/>
    <n v="411"/>
    <n v="0"/>
    <m/>
    <m/>
    <s v="NA"/>
    <s v="NA"/>
    <s v="EHS"/>
    <m/>
    <m/>
  </r>
  <r>
    <s v="CSR 25"/>
    <s v="EE"/>
    <x v="2"/>
    <s v="Romania"/>
    <m/>
    <x v="0"/>
    <m/>
    <m/>
    <m/>
    <n v="1"/>
    <m/>
    <n v="411"/>
    <n v="0"/>
    <m/>
    <m/>
    <s v="NA"/>
    <s v="NA"/>
    <s v="EHS"/>
    <m/>
    <m/>
  </r>
  <r>
    <s v="CSR 26"/>
    <s v="EE"/>
    <x v="2"/>
    <s v="Romania"/>
    <m/>
    <x v="0"/>
    <m/>
    <m/>
    <m/>
    <n v="1"/>
    <m/>
    <n v="411"/>
    <n v="0"/>
    <m/>
    <m/>
    <n v="174"/>
    <s v="Trees"/>
    <s v="EHS"/>
    <m/>
    <m/>
  </r>
  <r>
    <s v="CSR 27"/>
    <s v="EE"/>
    <x v="2"/>
    <s v="Romania"/>
    <m/>
    <x v="0"/>
    <m/>
    <m/>
    <m/>
    <n v="1"/>
    <m/>
    <n v="411"/>
    <n v="0"/>
    <m/>
    <m/>
    <s v="NA"/>
    <s v="NA"/>
    <s v="HR"/>
    <m/>
    <m/>
  </r>
  <r>
    <s v="CSR 28"/>
    <s v="ASIA"/>
    <x v="3"/>
    <s v="Tianjin"/>
    <m/>
    <x v="0"/>
    <m/>
    <m/>
    <m/>
    <n v="1"/>
    <m/>
    <n v="314"/>
    <n v="0"/>
    <m/>
    <m/>
    <s v="NA"/>
    <s v="NA"/>
    <s v="HR"/>
    <m/>
    <m/>
  </r>
  <r>
    <s v="CSR 29"/>
    <s v="ASIA"/>
    <x v="3"/>
    <s v="Tianjin 2"/>
    <m/>
    <x v="0"/>
    <m/>
    <m/>
    <m/>
    <n v="1"/>
    <m/>
    <n v="314"/>
    <n v="0"/>
    <m/>
    <m/>
    <s v="NA"/>
    <s v="NA"/>
    <s v="EHS"/>
    <m/>
    <m/>
  </r>
  <r>
    <s v="CSR 30"/>
    <s v="ASIA"/>
    <x v="3"/>
    <s v="Tianjin"/>
    <m/>
    <x v="0"/>
    <m/>
    <m/>
    <m/>
    <n v="1"/>
    <m/>
    <n v="314"/>
    <n v="0"/>
    <m/>
    <m/>
    <s v="NA"/>
    <s v="NA"/>
    <s v="HR"/>
    <m/>
    <m/>
  </r>
  <r>
    <s v="CSR 31"/>
    <s v="ASIA"/>
    <x v="3"/>
    <s v="Tianjin"/>
    <m/>
    <x v="0"/>
    <m/>
    <m/>
    <m/>
    <n v="1"/>
    <m/>
    <n v="314"/>
    <n v="0"/>
    <m/>
    <m/>
    <s v="NA"/>
    <s v="NA"/>
    <s v="EHS"/>
    <m/>
    <m/>
  </r>
  <r>
    <s v="CSR 32"/>
    <s v="ASIA"/>
    <x v="3"/>
    <s v="Tianjin"/>
    <m/>
    <x v="0"/>
    <m/>
    <m/>
    <m/>
    <n v="1"/>
    <m/>
    <n v="314"/>
    <n v="0"/>
    <m/>
    <m/>
    <s v="NA "/>
    <s v="Wheelchairs"/>
    <s v="HR"/>
    <m/>
    <m/>
  </r>
  <r>
    <s v="CSR 33"/>
    <s v="ASIA"/>
    <x v="3"/>
    <s v="Tianjin 2"/>
    <m/>
    <x v="0"/>
    <m/>
    <m/>
    <m/>
    <n v="1"/>
    <m/>
    <n v="314"/>
    <n v="0"/>
    <m/>
    <m/>
    <s v="NA"/>
    <s v="NA"/>
    <s v="EHS"/>
    <m/>
    <m/>
  </r>
  <r>
    <s v="CSR 34"/>
    <s v="ASIA"/>
    <x v="3"/>
    <s v="Tianjin"/>
    <m/>
    <x v="0"/>
    <m/>
    <m/>
    <m/>
    <n v="1"/>
    <m/>
    <n v="314"/>
    <n v="0"/>
    <m/>
    <m/>
    <s v="NA"/>
    <s v="NA"/>
    <s v="EHS"/>
    <m/>
    <m/>
  </r>
  <r>
    <s v="CSR 35"/>
    <s v="ASIA"/>
    <x v="3"/>
    <s v="Tianjin"/>
    <m/>
    <x v="0"/>
    <m/>
    <m/>
    <m/>
    <n v="1"/>
    <m/>
    <n v="314"/>
    <n v="0"/>
    <m/>
    <m/>
    <s v="NA"/>
    <s v="NA"/>
    <s v="EHS"/>
    <m/>
    <m/>
  </r>
  <r>
    <s v="CSR 36"/>
    <s v="western Europe"/>
    <x v="4"/>
    <s v="Guarda"/>
    <m/>
    <x v="0"/>
    <m/>
    <m/>
    <m/>
    <n v="1"/>
    <m/>
    <n v="910"/>
    <n v="0"/>
    <m/>
    <m/>
    <n v="150"/>
    <s v="Student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7"/>
    <s v="western Europe"/>
    <x v="4"/>
    <s v="Guarda"/>
    <m/>
    <x v="0"/>
    <m/>
    <m/>
    <m/>
    <n v="7"/>
    <m/>
    <n v="910"/>
    <n v="0"/>
    <m/>
    <m/>
    <s v="NA"/>
    <s v="Cable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8"/>
    <s v="western Europe"/>
    <x v="4"/>
    <s v="Guarda"/>
    <m/>
    <x v="0"/>
    <m/>
    <m/>
    <m/>
    <n v="3"/>
    <m/>
    <n v="910"/>
    <n v="0"/>
    <m/>
    <m/>
    <s v="NA"/>
    <s v="NA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39"/>
    <s v="western Europe"/>
    <x v="4"/>
    <s v="Guarda"/>
    <m/>
    <x v="0"/>
    <m/>
    <m/>
    <m/>
    <n v="2"/>
    <m/>
    <n v="910"/>
    <n v="0"/>
    <m/>
    <m/>
    <n v="2100"/>
    <s v="Trees"/>
    <s v="HR"/>
    <m/>
    <m/>
  </r>
  <r>
    <m/>
    <s v="western Europe"/>
    <x v="4"/>
    <s v="Guarda 2"/>
    <m/>
    <x v="0"/>
    <m/>
    <m/>
    <m/>
    <m/>
    <m/>
    <n v="910"/>
    <m/>
    <m/>
    <m/>
    <m/>
    <m/>
    <m/>
    <m/>
    <m/>
  </r>
  <r>
    <s v="CSR 40"/>
    <s v="western Europe"/>
    <x v="4"/>
    <s v="Guarda"/>
    <m/>
    <x v="0"/>
    <m/>
    <m/>
    <m/>
    <n v="2"/>
    <m/>
    <n v="910"/>
    <n v="0"/>
    <m/>
    <m/>
    <s v="NA"/>
    <s v="NA"/>
    <s v="HR"/>
    <m/>
    <m/>
  </r>
  <r>
    <m/>
    <s v="western Europe"/>
    <x v="4"/>
    <s v="Guarda 2"/>
    <m/>
    <x v="0"/>
    <m/>
    <m/>
    <m/>
    <m/>
    <m/>
    <m/>
    <m/>
    <m/>
    <m/>
    <m/>
    <m/>
    <m/>
    <m/>
    <m/>
  </r>
  <r>
    <s v="CSR 41"/>
    <s v="western Europe"/>
    <x v="4"/>
    <s v="Guarda"/>
    <m/>
    <x v="0"/>
    <m/>
    <m/>
    <m/>
    <n v="3"/>
    <m/>
    <n v="910"/>
    <n v="0"/>
    <m/>
    <m/>
    <s v="NA"/>
    <s v="NA"/>
    <s v="EHS/HR"/>
    <m/>
    <m/>
  </r>
  <r>
    <m/>
    <s v="western Europe"/>
    <x v="4"/>
    <s v="Guarda 2"/>
    <m/>
    <x v="0"/>
    <m/>
    <m/>
    <m/>
    <m/>
    <m/>
    <m/>
    <m/>
    <m/>
    <m/>
    <m/>
    <m/>
    <m/>
    <m/>
    <m/>
  </r>
  <r>
    <s v="CSR 42"/>
    <s v="America"/>
    <x v="5"/>
    <s v="Durrango"/>
    <m/>
    <x v="0"/>
    <m/>
    <m/>
    <m/>
    <n v="4"/>
    <m/>
    <n v="801"/>
    <n v="0"/>
    <m/>
    <m/>
    <s v="NA"/>
    <s v="NA"/>
    <s v="HR"/>
    <m/>
    <m/>
  </r>
  <r>
    <s v="CSR 43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4"/>
    <s v="America"/>
    <x v="5"/>
    <s v="Durrango"/>
    <m/>
    <x v="0"/>
    <m/>
    <m/>
    <m/>
    <n v="1"/>
    <m/>
    <n v="801"/>
    <m/>
    <m/>
    <m/>
    <s v="NA"/>
    <s v="NA"/>
    <s v="HR"/>
    <m/>
    <m/>
  </r>
  <r>
    <s v="CSR 45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6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7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8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49"/>
    <s v="America"/>
    <x v="5"/>
    <s v="Durrango"/>
    <m/>
    <x v="0"/>
    <m/>
    <m/>
    <m/>
    <n v="1"/>
    <m/>
    <n v="801"/>
    <n v="0"/>
    <m/>
    <m/>
    <n v="100"/>
    <s v="Person impacted"/>
    <s v="HR"/>
    <m/>
    <m/>
  </r>
  <r>
    <s v="CSR 50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1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2"/>
    <s v="America"/>
    <x v="5"/>
    <s v="Durrango"/>
    <m/>
    <x v="0"/>
    <m/>
    <m/>
    <m/>
    <n v="1"/>
    <m/>
    <n v="801"/>
    <n v="0"/>
    <m/>
    <m/>
    <s v="NA"/>
    <s v="NA"/>
    <s v="HR"/>
    <m/>
    <m/>
  </r>
  <r>
    <s v="CSR 53"/>
    <s v="America"/>
    <x v="5"/>
    <s v="Léon"/>
    <m/>
    <x v="0"/>
    <m/>
    <m/>
    <m/>
    <n v="1"/>
    <m/>
    <n v="615"/>
    <n v="0"/>
    <m/>
    <m/>
    <s v="NA"/>
    <s v="NA"/>
    <s v="HR"/>
    <m/>
    <m/>
  </r>
  <r>
    <s v="CSR 54"/>
    <s v="America"/>
    <x v="5"/>
    <s v="Léon"/>
    <m/>
    <x v="0"/>
    <m/>
    <m/>
    <m/>
    <n v="1"/>
    <m/>
    <n v="615"/>
    <n v="0"/>
    <m/>
    <m/>
    <s v="NA"/>
    <s v="Bottle Caps"/>
    <s v="HR"/>
    <m/>
    <m/>
  </r>
  <r>
    <s v="CSR 55"/>
    <s v="America"/>
    <x v="5"/>
    <s v="Léon"/>
    <m/>
    <x v="0"/>
    <m/>
    <m/>
    <m/>
    <n v="1"/>
    <m/>
    <n v="615"/>
    <n v="0"/>
    <m/>
    <m/>
    <n v="200"/>
    <s v="Trees"/>
    <s v="HR"/>
    <m/>
    <m/>
  </r>
  <r>
    <s v="CSR 56"/>
    <s v="America"/>
    <x v="5"/>
    <s v="Léon"/>
    <m/>
    <x v="0"/>
    <m/>
    <m/>
    <m/>
    <n v="1"/>
    <m/>
    <n v="615"/>
    <n v="0"/>
    <m/>
    <m/>
    <s v="NA"/>
    <s v="NA"/>
    <s v="HR"/>
    <m/>
    <m/>
  </r>
  <r>
    <s v="CSR 57"/>
    <s v="America"/>
    <x v="5"/>
    <s v="Léon"/>
    <m/>
    <x v="0"/>
    <m/>
    <m/>
    <m/>
    <n v="1"/>
    <m/>
    <n v="615"/>
    <n v="0"/>
    <m/>
    <m/>
    <n v="100"/>
    <s v="Electronic equipment"/>
    <s v="HR"/>
    <m/>
    <m/>
  </r>
  <r>
    <s v="CSR 58"/>
    <s v="America"/>
    <x v="5"/>
    <s v="Léon"/>
    <m/>
    <x v="0"/>
    <m/>
    <m/>
    <m/>
    <n v="1"/>
    <m/>
    <n v="615"/>
    <n v="0"/>
    <m/>
    <m/>
    <s v="NA"/>
    <s v="NA"/>
    <s v="HR"/>
    <m/>
    <m/>
  </r>
  <r>
    <s v="CSR 59"/>
    <s v="America"/>
    <x v="5"/>
    <s v="Léon"/>
    <m/>
    <x v="0"/>
    <m/>
    <m/>
    <m/>
    <n v="1"/>
    <m/>
    <n v="615"/>
    <n v="0"/>
    <m/>
    <m/>
    <n v="25"/>
    <s v="units of blood"/>
    <s v="HR"/>
    <m/>
    <m/>
  </r>
  <r>
    <s v="CSR 60"/>
    <s v="America"/>
    <x v="5"/>
    <s v="Léon"/>
    <m/>
    <x v="0"/>
    <m/>
    <m/>
    <m/>
    <n v="1"/>
    <m/>
    <n v="615"/>
    <n v="0"/>
    <m/>
    <m/>
    <s v="NA"/>
    <s v="NA"/>
    <s v="HR"/>
    <m/>
    <m/>
  </r>
  <r>
    <s v="CSR 61"/>
    <s v="America"/>
    <x v="5"/>
    <s v="Léon"/>
    <m/>
    <x v="0"/>
    <m/>
    <m/>
    <m/>
    <n v="1"/>
    <m/>
    <n v="615"/>
    <n v="0"/>
    <m/>
    <m/>
    <n v="20"/>
    <s v="books"/>
    <s v="HR"/>
    <m/>
    <m/>
  </r>
  <r>
    <s v="CSR 62"/>
    <s v="America"/>
    <x v="5"/>
    <s v="Léon"/>
    <m/>
    <x v="0"/>
    <m/>
    <m/>
    <m/>
    <n v="1"/>
    <m/>
    <n v="615"/>
    <n v="0"/>
    <m/>
    <m/>
    <n v="15"/>
    <s v="Mammograms"/>
    <s v="HR"/>
    <m/>
    <m/>
  </r>
  <r>
    <s v="CSR 63"/>
    <s v="America"/>
    <x v="5"/>
    <s v="Honduras"/>
    <m/>
    <x v="0"/>
    <m/>
    <m/>
    <m/>
    <n v="1"/>
    <m/>
    <n v="387"/>
    <n v="0"/>
    <m/>
    <m/>
    <n v="20"/>
    <s v="units of blood"/>
    <s v="HR"/>
    <m/>
    <m/>
  </r>
  <r>
    <s v="CSR 64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5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6"/>
    <s v="America"/>
    <x v="5"/>
    <s v="Honduras"/>
    <m/>
    <x v="0"/>
    <m/>
    <m/>
    <m/>
    <n v="1"/>
    <m/>
    <n v="387"/>
    <n v="0"/>
    <m/>
    <m/>
    <n v="200"/>
    <s v="Chairs restores"/>
    <s v="HR"/>
    <m/>
    <m/>
  </r>
  <r>
    <s v="CSR 67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68"/>
    <s v="America"/>
    <x v="5"/>
    <s v="Honduras"/>
    <m/>
    <x v="0"/>
    <m/>
    <m/>
    <m/>
    <n v="1"/>
    <m/>
    <n v="387"/>
    <n v="0"/>
    <m/>
    <m/>
    <n v="94"/>
    <s v="Doses of Vaccines"/>
    <s v="HR"/>
    <m/>
    <m/>
  </r>
  <r>
    <s v="CSR 69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0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1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2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3"/>
    <s v="America"/>
    <x v="5"/>
    <s v="Honduras"/>
    <m/>
    <x v="0"/>
    <m/>
    <m/>
    <m/>
    <n v="1"/>
    <m/>
    <n v="387"/>
    <n v="0"/>
    <m/>
    <m/>
    <s v="NA"/>
    <s v="NA"/>
    <s v="HR"/>
    <m/>
    <m/>
  </r>
  <r>
    <s v="CSR 74"/>
    <s v="America"/>
    <x v="5"/>
    <s v="Juarez"/>
    <m/>
    <x v="0"/>
    <m/>
    <m/>
    <m/>
    <n v="1"/>
    <m/>
    <n v="387"/>
    <n v="0"/>
    <m/>
    <m/>
    <s v="NA"/>
    <s v="NA"/>
    <s v="HR"/>
    <m/>
    <m/>
  </r>
  <r>
    <s v="CSR 75"/>
    <s v="America"/>
    <x v="5"/>
    <s v="Juarez"/>
    <m/>
    <x v="0"/>
    <m/>
    <m/>
    <m/>
    <n v="1"/>
    <m/>
    <n v="870"/>
    <n v="0"/>
    <m/>
    <m/>
    <s v="NA"/>
    <s v="NA"/>
    <s v="HR"/>
    <m/>
    <m/>
  </r>
  <r>
    <s v="CSR 76"/>
    <s v="North Africa"/>
    <x v="6"/>
    <s v="Tunis"/>
    <m/>
    <x v="0"/>
    <m/>
    <m/>
    <m/>
    <n v="2"/>
    <m/>
    <n v="698"/>
    <n v="0"/>
    <m/>
    <m/>
    <n v="13"/>
    <s v="Women exposed"/>
    <s v="CSR Committe"/>
    <m/>
    <m/>
  </r>
  <r>
    <s v="CSR 77"/>
    <s v="North Africa"/>
    <x v="6"/>
    <s v="Tunis"/>
    <m/>
    <x v="0"/>
    <m/>
    <m/>
    <m/>
    <n v="1"/>
    <m/>
    <n v="698"/>
    <n v="0"/>
    <m/>
    <m/>
    <n v="24"/>
    <s v="childrens"/>
    <s v="HR"/>
    <m/>
    <m/>
  </r>
  <r>
    <s v="CSR 78"/>
    <s v="North Africa"/>
    <x v="6"/>
    <s v="Tunis"/>
    <m/>
    <x v="0"/>
    <m/>
    <m/>
    <m/>
    <n v="3"/>
    <m/>
    <n v="698"/>
    <n v="0"/>
    <m/>
    <m/>
    <n v="1600"/>
    <s v="Students "/>
    <s v="CSR Committe"/>
    <m/>
    <m/>
  </r>
  <r>
    <s v="CSR 79"/>
    <s v="North Africa"/>
    <x v="6"/>
    <s v="Tunis"/>
    <m/>
    <x v="0"/>
    <m/>
    <m/>
    <m/>
    <n v="1"/>
    <m/>
    <n v="698"/>
    <n v="0"/>
    <m/>
    <m/>
    <n v="224"/>
    <s v="KG of waste"/>
    <s v="CSR Committe"/>
    <m/>
    <m/>
  </r>
  <r>
    <s v="CSR 80"/>
    <s v="North Africa"/>
    <x v="6"/>
    <s v="Tunis"/>
    <m/>
    <x v="0"/>
    <m/>
    <m/>
    <m/>
    <n v="1"/>
    <m/>
    <n v="698"/>
    <n v="0"/>
    <m/>
    <m/>
    <n v="2"/>
    <s v="Classrooms built"/>
    <s v="HR"/>
    <m/>
    <m/>
  </r>
  <r>
    <s v="CSR 81"/>
    <s v="North Africa"/>
    <x v="6"/>
    <s v="Tunis"/>
    <m/>
    <x v="0"/>
    <m/>
    <m/>
    <m/>
    <n v="1"/>
    <m/>
    <n v="698"/>
    <n v="0"/>
    <m/>
    <m/>
    <n v="51"/>
    <s v="units of blood"/>
    <s v="HR"/>
    <m/>
    <m/>
  </r>
  <r>
    <s v="CSR 82"/>
    <s v="North Africa"/>
    <x v="6"/>
    <s v="Tunis"/>
    <m/>
    <x v="0"/>
    <m/>
    <m/>
    <m/>
    <n v="1"/>
    <m/>
    <n v="698"/>
    <n v="0"/>
    <m/>
    <m/>
    <n v="50"/>
    <s v="families in need"/>
    <s v="HR"/>
    <m/>
    <m/>
  </r>
  <r>
    <s v="CSR 83"/>
    <s v="North Africa"/>
    <x v="6"/>
    <s v="Tunis"/>
    <m/>
    <x v="0"/>
    <m/>
    <m/>
    <m/>
    <n v="1"/>
    <m/>
    <n v="698"/>
    <n v="0"/>
    <m/>
    <m/>
    <n v="430"/>
    <s v="Women benefited"/>
    <s v="CSR Committe"/>
    <m/>
    <m/>
  </r>
  <r>
    <s v="CSR 84"/>
    <s v="North Africa"/>
    <x v="6"/>
    <s v="Tunis"/>
    <m/>
    <x v="0"/>
    <m/>
    <m/>
    <m/>
    <n v="1"/>
    <m/>
    <n v="698"/>
    <n v="0"/>
    <m/>
    <m/>
    <n v="5000"/>
    <s v="Trees"/>
    <s v="CSR Committe"/>
    <m/>
    <m/>
  </r>
  <r>
    <s v="CSR 85"/>
    <s v="North Africa"/>
    <x v="6"/>
    <s v="Tunis"/>
    <m/>
    <x v="0"/>
    <m/>
    <m/>
    <m/>
    <n v="1"/>
    <m/>
    <n v="698"/>
    <n v="0"/>
    <m/>
    <m/>
    <s v="NA"/>
    <s v="NA"/>
    <s v="HR"/>
    <m/>
    <m/>
  </r>
  <r>
    <s v="CSR 86"/>
    <s v="North Africa"/>
    <x v="6"/>
    <s v="Tunis"/>
    <m/>
    <x v="0"/>
    <m/>
    <m/>
    <m/>
    <n v="1"/>
    <m/>
    <n v="698"/>
    <n v="0"/>
    <m/>
    <m/>
    <s v="NA"/>
    <s v="NA"/>
    <s v="HR"/>
    <m/>
    <m/>
  </r>
  <r>
    <s v="CSR 87"/>
    <s v="North Africa"/>
    <x v="6"/>
    <s v="Mdjez el beb"/>
    <m/>
    <x v="0"/>
    <m/>
    <m/>
    <m/>
    <n v="1"/>
    <m/>
    <n v="314"/>
    <n v="0"/>
    <m/>
    <m/>
    <n v="4"/>
    <s v="Textile Machines"/>
    <s v="HR"/>
    <m/>
    <m/>
  </r>
  <r>
    <s v="CSR 87"/>
    <s v="North Africa"/>
    <x v="6"/>
    <s v="Mdjez el beb"/>
    <m/>
    <x v="0"/>
    <m/>
    <m/>
    <m/>
    <n v="1"/>
    <m/>
    <n v="314"/>
    <n v="0"/>
    <m/>
    <m/>
    <n v="6"/>
    <s v="Small businesses"/>
    <s v="HR"/>
    <m/>
    <m/>
  </r>
  <r>
    <s v="CSR 88"/>
    <s v="North Africa"/>
    <x v="6"/>
    <s v="Mdjez el beb"/>
    <m/>
    <x v="0"/>
    <m/>
    <m/>
    <m/>
    <n v="1"/>
    <m/>
    <n v="314"/>
    <n v="0"/>
    <m/>
    <m/>
    <n v="5"/>
    <s v="Participants"/>
    <s v="HR"/>
    <m/>
    <m/>
  </r>
  <r>
    <s v="CSR 89"/>
    <s v="North Africa"/>
    <x v="6"/>
    <s v="Mdjez el beb"/>
    <m/>
    <x v="0"/>
    <m/>
    <m/>
    <m/>
    <n v="1"/>
    <m/>
    <n v="314"/>
    <n v="0"/>
    <m/>
    <m/>
    <n v="30"/>
    <s v="Children"/>
    <s v="HR"/>
    <m/>
    <m/>
  </r>
  <r>
    <s v="CSR 90"/>
    <s v="North Africa"/>
    <x v="6"/>
    <s v="Mdjez el beb"/>
    <m/>
    <x v="0"/>
    <m/>
    <m/>
    <m/>
    <n v="1"/>
    <m/>
    <n v="314"/>
    <n v="0"/>
    <m/>
    <m/>
    <n v="0"/>
    <n v="0"/>
    <s v="HR"/>
    <m/>
    <m/>
  </r>
  <r>
    <s v="CSR 91"/>
    <s v="North Africa"/>
    <x v="6"/>
    <s v="Mdjez el beb"/>
    <m/>
    <x v="0"/>
    <m/>
    <m/>
    <m/>
    <n v="1"/>
    <m/>
    <n v="314"/>
    <n v="0"/>
    <m/>
    <m/>
    <s v="NA"/>
    <s v="NA"/>
    <s v="EHS"/>
    <m/>
    <m/>
  </r>
  <r>
    <s v="CSR 92"/>
    <s v="North Africa"/>
    <x v="6"/>
    <s v="Mdjez el beb"/>
    <m/>
    <x v="0"/>
    <m/>
    <m/>
    <m/>
    <n v="1"/>
    <m/>
    <n v="314"/>
    <n v="0"/>
    <m/>
    <m/>
    <n v="100"/>
    <s v="citizens"/>
    <s v="HR"/>
    <m/>
    <m/>
  </r>
  <r>
    <s v="CSR 93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n v="2500"/>
    <s v="Trees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4"/>
    <s v="North Africa"/>
    <x v="6"/>
    <s v="Mdjez el beb"/>
    <m/>
    <x v="0"/>
    <m/>
    <m/>
    <m/>
    <n v="1"/>
    <m/>
    <n v="314"/>
    <n v="0"/>
    <m/>
    <m/>
    <s v="NA"/>
    <s v="NA"/>
    <s v="HR"/>
    <m/>
    <m/>
  </r>
  <r>
    <s v="CSR 95"/>
    <s v="North Africa"/>
    <x v="7"/>
    <s v="Tangier"/>
    <m/>
    <x v="0"/>
    <m/>
    <m/>
    <m/>
    <n v="1"/>
    <m/>
    <n v="516"/>
    <n v="0"/>
    <m/>
    <m/>
    <n v="10"/>
    <s v="Students participated"/>
    <s v="CSR Committe"/>
    <m/>
    <m/>
  </r>
  <r>
    <s v="CSR 96"/>
    <s v="North Africa"/>
    <x v="7"/>
    <s v="Tangier"/>
    <m/>
    <x v="0"/>
    <m/>
    <m/>
    <m/>
    <n v="1"/>
    <m/>
    <n v="516"/>
    <n v="0"/>
    <m/>
    <m/>
    <n v="62"/>
    <s v="blood bags"/>
    <s v="CSR Committe"/>
    <m/>
    <m/>
  </r>
  <r>
    <s v="CSR 97"/>
    <s v="North Africa"/>
    <x v="7"/>
    <s v="Tangier"/>
    <m/>
    <x v="0"/>
    <m/>
    <m/>
    <m/>
    <n v="1"/>
    <m/>
    <n v="516"/>
    <n v="0"/>
    <m/>
    <m/>
    <s v="700 Kg"/>
    <s v="Waste collected"/>
    <s v="CSR Committe"/>
    <m/>
    <m/>
  </r>
  <r>
    <s v="CSR 98"/>
    <s v="North Africa"/>
    <x v="7"/>
    <s v="Tangier"/>
    <m/>
    <x v="0"/>
    <m/>
    <m/>
    <m/>
    <n v="1"/>
    <m/>
    <n v="516"/>
    <n v="0"/>
    <m/>
    <m/>
    <n v="72"/>
    <s v="Women benefited"/>
    <s v="CSR Committe"/>
    <m/>
    <m/>
  </r>
  <r>
    <s v="CSR 99"/>
    <s v="North Africa"/>
    <x v="7"/>
    <s v="Tangier"/>
    <m/>
    <x v="0"/>
    <m/>
    <m/>
    <m/>
    <n v="1"/>
    <m/>
    <n v="516"/>
    <n v="0"/>
    <m/>
    <m/>
    <n v="3"/>
    <s v="Small businesses"/>
    <s v="CSR Committe"/>
    <m/>
    <m/>
  </r>
  <r>
    <s v="CSR 100"/>
    <s v="North Africa"/>
    <x v="7"/>
    <s v="Tangier"/>
    <m/>
    <x v="0"/>
    <m/>
    <m/>
    <m/>
    <n v="1"/>
    <m/>
    <n v="516"/>
    <n v="0"/>
    <m/>
    <m/>
    <n v="17"/>
    <s v="children"/>
    <s v="CSR Committe"/>
    <m/>
    <m/>
  </r>
  <r>
    <s v="CSR 101"/>
    <s v="North Africa"/>
    <x v="7"/>
    <s v="Kenitra"/>
    <m/>
    <x v="0"/>
    <m/>
    <m/>
    <m/>
    <n v="1"/>
    <m/>
    <n v="506"/>
    <n v="0"/>
    <m/>
    <m/>
    <n v="10"/>
    <s v="Students participated"/>
    <s v="CSR Committe"/>
    <m/>
    <m/>
  </r>
  <r>
    <s v="CSR 102"/>
    <s v="North Africa"/>
    <x v="7"/>
    <s v="Kenitra"/>
    <m/>
    <x v="0"/>
    <m/>
    <m/>
    <m/>
    <n v="1"/>
    <m/>
    <n v="506"/>
    <n v="0"/>
    <m/>
    <m/>
    <n v="65"/>
    <s v="Women"/>
    <s v="HR/COM"/>
    <m/>
    <m/>
  </r>
  <r>
    <s v="CSR 103"/>
    <s v="North Africa"/>
    <x v="7"/>
    <s v="Kenitra"/>
    <m/>
    <x v="0"/>
    <m/>
    <m/>
    <m/>
    <n v="1"/>
    <m/>
    <n v="506"/>
    <n v="0"/>
    <m/>
    <m/>
    <n v="3"/>
    <s v="Women Cooperatives"/>
    <s v="HR/COM"/>
    <m/>
    <m/>
  </r>
  <r>
    <s v="CSR 104"/>
    <s v="North Africa"/>
    <x v="7"/>
    <s v="Kenitra"/>
    <m/>
    <x v="0"/>
    <m/>
    <m/>
    <m/>
    <n v="1"/>
    <m/>
    <n v="506"/>
    <n v="0"/>
    <m/>
    <m/>
    <n v="2"/>
    <s v="Families in need"/>
    <s v="HR/COM"/>
    <m/>
    <m/>
  </r>
  <r>
    <s v="CSR 105"/>
    <s v="North Africa"/>
    <x v="7"/>
    <s v="Kenitra"/>
    <m/>
    <x v="0"/>
    <m/>
    <m/>
    <m/>
    <n v="1"/>
    <m/>
    <n v="506"/>
    <n v="0"/>
    <m/>
    <m/>
    <n v="220"/>
    <s v="Students"/>
    <s v="HR/COM"/>
    <m/>
    <m/>
  </r>
  <r>
    <s v="CSR 106"/>
    <s v="North Africa"/>
    <x v="7"/>
    <s v="Kenitra"/>
    <m/>
    <x v="0"/>
    <m/>
    <m/>
    <m/>
    <n v="1"/>
    <m/>
    <n v="506"/>
    <n v="0"/>
    <m/>
    <m/>
    <s v="NA"/>
    <s v="NA"/>
    <s v="HR/COM"/>
    <m/>
    <m/>
  </r>
  <r>
    <s v="CSR 107"/>
    <s v="North Africa"/>
    <x v="7"/>
    <s v="Kenitra"/>
    <m/>
    <x v="0"/>
    <m/>
    <m/>
    <m/>
    <n v="1"/>
    <m/>
    <n v="506"/>
    <n v="0"/>
    <m/>
    <m/>
    <s v="NA"/>
    <s v="NA"/>
    <s v="HR/COM"/>
    <m/>
    <m/>
  </r>
  <r>
    <s v="CSR 108"/>
    <s v="North Africa"/>
    <x v="7"/>
    <s v="Kenitra"/>
    <m/>
    <x v="0"/>
    <m/>
    <m/>
    <m/>
    <n v="1"/>
    <m/>
    <n v="506"/>
    <n v="0"/>
    <m/>
    <m/>
    <n v="3"/>
    <s v="blood bags"/>
    <s v="HR/COM"/>
    <m/>
    <m/>
  </r>
  <r>
    <s v="Total"/>
    <m/>
    <x v="0"/>
    <m/>
    <m/>
    <x v="6"/>
    <m/>
    <m/>
    <m/>
    <m/>
    <n v="1275"/>
    <m/>
    <n v="3.7072837949741096E-2"/>
    <n v="0"/>
    <n v="7277"/>
    <m/>
    <m/>
    <m/>
    <n v="13"/>
    <m/>
  </r>
  <r>
    <m/>
    <m/>
    <x v="0"/>
    <m/>
    <s v="113 CSR Actions Globally"/>
    <x v="3"/>
    <s v="4 Actions"/>
    <m/>
    <n v="3.5398230088495575E-2"/>
    <m/>
    <m/>
    <m/>
    <m/>
    <m/>
    <m/>
    <m/>
    <m/>
    <m/>
    <m/>
    <m/>
  </r>
  <r>
    <m/>
    <m/>
    <x v="0"/>
    <m/>
    <m/>
    <x v="4"/>
    <s v="2 Actions"/>
    <m/>
    <n v="1.7699115044247787E-2"/>
    <m/>
    <m/>
    <m/>
    <m/>
    <m/>
    <m/>
    <m/>
    <m/>
    <m/>
    <m/>
    <m/>
  </r>
  <r>
    <m/>
    <m/>
    <x v="0"/>
    <m/>
    <m/>
    <x v="5"/>
    <s v="3 Actions"/>
    <m/>
    <n v="2.6548672566371681E-2"/>
    <m/>
    <m/>
    <m/>
    <m/>
    <m/>
    <m/>
    <m/>
    <m/>
    <m/>
    <m/>
    <m/>
  </r>
  <r>
    <m/>
    <m/>
    <x v="0"/>
    <m/>
    <m/>
    <x v="2"/>
    <s v="2 Actions"/>
    <m/>
    <n v="1.7699115044247787E-2"/>
    <m/>
    <m/>
    <m/>
    <m/>
    <m/>
    <m/>
    <m/>
    <m/>
    <m/>
    <m/>
    <m/>
  </r>
  <r>
    <m/>
    <m/>
    <x v="0"/>
    <m/>
    <m/>
    <x v="1"/>
    <s v="4 Actions"/>
    <m/>
    <n v="3.5398230088495575E-2"/>
    <m/>
    <m/>
    <m/>
    <m/>
    <m/>
    <m/>
    <m/>
    <m/>
    <m/>
    <m/>
    <m/>
  </r>
  <r>
    <m/>
    <m/>
    <x v="0"/>
    <m/>
    <m/>
    <x v="7"/>
    <s v="0 Actions"/>
    <m/>
    <n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576FB-C05B-43CC-97E2-A13936240076}" name="Tableau croisé dynamique15" cacheId="1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 chartFormat="10">
  <location ref="A5:B7" firstHeaderRow="1" firstDataRow="1" firstDataCol="2"/>
  <pivotFields count="2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8">
        <item sd="0" x="3"/>
        <item x="5"/>
        <item sd="0" x="7"/>
        <item sd="0" x="4"/>
        <item sd="0" x="2"/>
        <item sd="0" x="1"/>
        <item sd="0" x="6"/>
        <item h="1" sd="0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8">
        <item x="4"/>
        <item x="3"/>
        <item h="1" x="5"/>
        <item h="1" x="7"/>
        <item x="1"/>
        <item h="1" x="2"/>
        <item h="1" x="0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5"/>
  </rowFields>
  <rowItems count="2">
    <i>
      <x v="4"/>
    </i>
    <i>
      <x v="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12015-C383-47C3-BEA8-2A636D64FF89}" name="Tableau croisé dynamique31" cacheId="0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 chartFormat="1">
  <location ref="A3:C19" firstHeaderRow="1" firstDataRow="1" firstDataCol="2"/>
  <pivotFields count="2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3"/>
        <item x="5"/>
        <item x="7"/>
        <item x="4"/>
        <item x="2"/>
        <item x="1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8"/>
        <item x="6"/>
        <item x="7"/>
        <item x="10"/>
        <item x="11"/>
        <item x="15"/>
        <item x="9"/>
        <item x="13"/>
        <item x="2"/>
        <item x="3"/>
        <item x="1"/>
        <item x="14"/>
        <item x="4"/>
        <item x="12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6">
    <i>
      <x/>
      <x v="12"/>
    </i>
    <i r="1">
      <x v="15"/>
    </i>
    <i>
      <x v="1"/>
      <x/>
    </i>
    <i r="1">
      <x v="3"/>
    </i>
    <i r="1">
      <x v="4"/>
    </i>
    <i r="1">
      <x v="6"/>
    </i>
    <i>
      <x v="2"/>
      <x v="5"/>
    </i>
    <i r="1">
      <x v="11"/>
    </i>
    <i>
      <x v="3"/>
      <x v="1"/>
    </i>
    <i r="1">
      <x v="2"/>
    </i>
    <i>
      <x v="4"/>
      <x v="8"/>
    </i>
    <i r="1">
      <x v="9"/>
    </i>
    <i>
      <x v="5"/>
      <x v="10"/>
    </i>
    <i>
      <x v="6"/>
      <x v="7"/>
    </i>
    <i r="1">
      <x v="13"/>
    </i>
    <i>
      <x v="7"/>
      <x v="14"/>
    </i>
  </rowItems>
  <colItems count="1">
    <i/>
  </colItems>
  <dataFields count="1">
    <dataField name="Somme de Number of External Partners" fld="19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0" dT="2024-09-16T09:53:24.86" personId="{16BC2F86-3887-48A6-9FC5-478513808505}" id="{C17F1528-80B4-4592-9732-17362F5C79A9}">
    <text>TBV</text>
  </threadedComment>
  <threadedComment ref="E15" dT="2025-07-21T13:52:39.84" personId="{16BC2F86-3887-48A6-9FC5-478513808505}" id="{1EEE092A-62F3-42DF-A211-9B6BCEEC1161}">
    <text>This is a well-being activity, not CSR</text>
  </threadedComment>
  <threadedComment ref="E18" dT="2025-07-29T14:04:11.51" personId="{16BC2F86-3887-48A6-9FC5-478513808505}" id="{69D811F4-CB4B-4207-9BFC-B20F031976F7}">
    <text xml:space="preserve">Wellbeing and not CSR </text>
  </threadedComment>
  <threadedComment ref="E21" dT="2025-07-29T14:15:40.11" personId="{16BC2F86-3887-48A6-9FC5-478513808505}" id="{0957B3E5-A06A-4D51-A9D2-FDFDBD0A19CE}">
    <text>Organised for our employees, so it is wellbeing and not CSR</text>
  </threadedComment>
  <threadedComment ref="E34" dT="2025-07-31T10:42:02.39" personId="{16BC2F86-3887-48A6-9FC5-478513808505}" id="{E763D6B0-61E3-45DA-A74D-D6200EC84C86}">
    <text>EHS Activity and not CSR</text>
  </threadedComment>
  <threadedComment ref="E38" dT="2025-07-31T10:55:46.52" personId="{16BC2F86-3887-48A6-9FC5-478513808505}" id="{B84AC28C-B512-4535-99B1-E4BBAE3AE39E}">
    <text>Wellbeing not CSR</text>
  </threadedComment>
  <threadedComment ref="O91" dT="2024-09-18T16:30:55.99" personId="{16BC2F86-3887-48A6-9FC5-478513808505}" id="{335F1F3E-C669-4111-87A0-B1FC88CA5116}">
    <text>Budget of the award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9" dT="2024-09-16T09:46:32.91" personId="{16BC2F86-3887-48A6-9FC5-478513808505}" id="{70735862-7D53-4E57-81DA-5A1F5B21B361}">
    <text>Not CSR</text>
  </threadedComment>
  <threadedComment ref="E23" dT="2024-09-16T14:07:17.09" personId="{16BC2F86-3887-48A6-9FC5-478513808505}" id="{BC1C3B48-A956-4338-A68A-DE47AAEEAFA0}">
    <text>Not CSR</text>
  </threadedComment>
  <threadedComment ref="E30" dT="2024-09-16T14:47:19.92" personId="{16BC2F86-3887-48A6-9FC5-478513808505}" id="{71A9DAA4-1E19-409D-8637-3C65AB21553E}">
    <text>Not CSR</text>
  </threadedComment>
  <threadedComment ref="E31" dT="2024-09-16T14:47:29.73" personId="{16BC2F86-3887-48A6-9FC5-478513808505}" id="{E5CBD37D-E011-4317-B5E9-F38D8CDAF434}">
    <text>Not CSR</text>
  </threadedComment>
  <threadedComment ref="E33" dT="2024-09-16T14:51:31.16" personId="{16BC2F86-3887-48A6-9FC5-478513808505}" id="{620C5728-E6D9-4F84-A18A-607B5C8F0C98}">
    <text>Not CSR</text>
  </threadedComment>
  <threadedComment ref="E35" dT="2024-09-16T15:06:09.69" personId="{16BC2F86-3887-48A6-9FC5-478513808505}" id="{A07E4DEE-8EA8-4EE0-8F39-A429AC3AF550}">
    <text>Not CSR</text>
  </threadedComment>
  <threadedComment ref="E36" dT="2024-09-16T15:14:15.94" personId="{16BC2F86-3887-48A6-9FC5-478513808505}" id="{CB89DF5C-9983-47A9-AE3B-A55C1FC37FD9}">
    <text>NOT CSR</text>
  </threadedComment>
  <threadedComment ref="E37" dT="2024-09-16T15:15:13.77" personId="{16BC2F86-3887-48A6-9FC5-478513808505}" id="{4DADC9A9-FCB3-4878-86C3-E1DF61CD1B3E}">
    <text>Not CSR</text>
  </threadedComment>
  <threadedComment ref="E48" dT="2024-09-16T16:03:46.61" personId="{16BC2F86-3887-48A6-9FC5-478513808505}" id="{CC06FD7D-08A2-4F94-9F4B-B92E7FF63ACB}">
    <text>This is not a CSr Action rather a wellbeing</text>
  </threadedComment>
  <threadedComment ref="E61" dT="2024-09-18T09:32:20.97" personId="{16BC2F86-3887-48A6-9FC5-478513808505}" id="{357AB9D0-181F-4C8A-974C-A5EC69947E64}">
    <text>Not CSR</text>
  </threadedComment>
  <threadedComment ref="E68" dT="2024-09-18T13:20:49.50" personId="{16BC2F86-3887-48A6-9FC5-478513808505}" id="{7D8D7643-49B4-4518-A80F-EAE54EA1ED3E}">
    <text>Not CSR</text>
  </threadedComment>
  <threadedComment ref="E72" dT="2024-09-18T15:50:02.88" personId="{16BC2F86-3887-48A6-9FC5-478513808505}" id="{08D91939-0985-457E-986A-BEA7D2E00A07}">
    <text>Not CSR</text>
  </threadedComment>
  <threadedComment ref="E73" dT="2024-09-18T15:52:00.31" personId="{16BC2F86-3887-48A6-9FC5-478513808505}" id="{B62DDA56-BBFC-4B17-BB89-FE0334E03763}">
    <text>Not CSR</text>
  </threadedComment>
  <threadedComment ref="E75" dT="2024-09-18T15:55:33.06" personId="{16BC2F86-3887-48A6-9FC5-478513808505}" id="{B09BE394-DA80-4DB8-8F94-AE23636694D9}">
    <text xml:space="preserve">Not CSR
</text>
  </threadedComment>
  <threadedComment ref="E77" dT="2024-09-18T16:01:58.75" personId="{16BC2F86-3887-48A6-9FC5-478513808505}" id="{EE6E2708-6DCC-4540-8A68-A52AB7D21DB7}">
    <text>Not CSR</text>
  </threadedComment>
  <threadedComment ref="E78" dT="2024-09-18T16:03:24.93" personId="{16BC2F86-3887-48A6-9FC5-478513808505}" id="{CDD5EEE4-4A4D-4453-BB6B-96A2870B30E5}">
    <text>Not CSR</text>
  </threadedComment>
  <threadedComment ref="E79" dT="2024-09-18T16:06:43.09" personId="{16BC2F86-3887-48A6-9FC5-478513808505}" id="{7C0EF76B-2B72-48F9-A212-020CDE2ED88D}">
    <text>Not CSR</text>
  </threadedComment>
  <threadedComment ref="E80" dT="2024-09-18T16:07:20.88" personId="{16BC2F86-3887-48A6-9FC5-478513808505}" id="{3E1E46E4-41D5-4180-9DED-B2D14C2B0E12}">
    <text>Not CSR</text>
  </threadedComment>
  <threadedComment ref="E81" dT="2024-09-18T16:11:05.54" personId="{16BC2F86-3887-48A6-9FC5-478513808505}" id="{F27DF9B4-FDF6-4F1D-94C3-5C7CC8BA67D7}">
    <text>Not CSR</text>
  </threadedComment>
  <threadedComment ref="E82" dT="2024-09-18T16:11:16.30" personId="{16BC2F86-3887-48A6-9FC5-478513808505}" id="{897E0D5C-FCA4-400C-957D-18CA8D27E47E}">
    <text>Not CSR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Corporate%20CSR%20Report%202023.pptx" TargetMode="Externa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A949-BF93-4A80-BFDA-1079B5CAC5A3}">
  <dimension ref="A1:T47"/>
  <sheetViews>
    <sheetView tabSelected="1" zoomScale="150" zoomScaleNormal="110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K6" sqref="K6"/>
    </sheetView>
  </sheetViews>
  <sheetFormatPr baseColWidth="10" defaultRowHeight="15" x14ac:dyDescent="0.2"/>
  <cols>
    <col min="2" max="3" width="24.5" customWidth="1"/>
    <col min="4" max="4" width="26.5" customWidth="1"/>
    <col min="5" max="5" width="36" customWidth="1"/>
    <col min="6" max="7" width="22.83203125" customWidth="1"/>
    <col min="8" max="8" width="0" hidden="1" customWidth="1"/>
    <col min="9" max="9" width="13.5" bestFit="1" customWidth="1"/>
    <col min="11" max="11" width="19.83203125" customWidth="1"/>
    <col min="12" max="12" width="7.5" customWidth="1"/>
    <col min="13" max="14" width="17.83203125" customWidth="1"/>
    <col min="15" max="15" width="15.83203125" customWidth="1"/>
    <col min="17" max="17" width="16.1640625" customWidth="1"/>
    <col min="18" max="18" width="20.33203125" customWidth="1"/>
    <col min="19" max="19" width="23.83203125" customWidth="1"/>
  </cols>
  <sheetData>
    <row r="1" spans="1:20" ht="45" customHeight="1" x14ac:dyDescent="0.2">
      <c r="A1" s="73" t="s">
        <v>0</v>
      </c>
      <c r="B1" s="73" t="s">
        <v>54</v>
      </c>
      <c r="C1" s="73" t="s">
        <v>53</v>
      </c>
      <c r="D1" s="73" t="s">
        <v>1</v>
      </c>
      <c r="E1" s="73" t="s">
        <v>73</v>
      </c>
      <c r="F1" s="73" t="s">
        <v>57</v>
      </c>
      <c r="G1" s="73" t="s">
        <v>171</v>
      </c>
      <c r="H1" s="73" t="s">
        <v>2</v>
      </c>
      <c r="I1" s="73" t="s">
        <v>3</v>
      </c>
      <c r="J1" s="73" t="s">
        <v>169</v>
      </c>
      <c r="K1" s="73" t="s">
        <v>79</v>
      </c>
      <c r="L1" s="73" t="s">
        <v>179</v>
      </c>
      <c r="M1" s="73" t="s">
        <v>97</v>
      </c>
      <c r="N1" s="73" t="s">
        <v>222</v>
      </c>
      <c r="O1" s="73" t="s">
        <v>221</v>
      </c>
      <c r="P1" s="73" t="s">
        <v>178</v>
      </c>
      <c r="Q1" s="78" t="s">
        <v>177</v>
      </c>
      <c r="R1" s="73" t="s">
        <v>5</v>
      </c>
      <c r="S1" s="13" t="s">
        <v>89</v>
      </c>
      <c r="T1" s="41" t="s">
        <v>168</v>
      </c>
    </row>
    <row r="2" spans="1:20" ht="15" customHeight="1" x14ac:dyDescent="0.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9"/>
      <c r="R2" s="74"/>
      <c r="S2" s="34"/>
      <c r="T2" s="40"/>
    </row>
    <row r="3" spans="1:20" ht="30" customHeight="1" x14ac:dyDescent="0.2">
      <c r="A3" s="2" t="s">
        <v>6</v>
      </c>
      <c r="B3" s="11" t="s">
        <v>56</v>
      </c>
      <c r="C3" s="33" t="s">
        <v>70</v>
      </c>
      <c r="D3" s="35" t="s">
        <v>70</v>
      </c>
      <c r="E3" s="12" t="s">
        <v>223</v>
      </c>
      <c r="F3" s="4" t="s">
        <v>172</v>
      </c>
      <c r="G3" s="4" t="s">
        <v>175</v>
      </c>
      <c r="H3" s="75">
        <v>2022</v>
      </c>
      <c r="I3" s="5">
        <v>2024</v>
      </c>
      <c r="J3" s="5">
        <f>2025-I3</f>
        <v>1</v>
      </c>
      <c r="K3" s="5">
        <v>0</v>
      </c>
      <c r="L3" s="5">
        <v>307</v>
      </c>
      <c r="M3" s="45">
        <f>K3/307</f>
        <v>0</v>
      </c>
      <c r="N3" s="5"/>
      <c r="O3" s="5">
        <v>300</v>
      </c>
      <c r="P3" s="5">
        <v>12</v>
      </c>
      <c r="Q3" s="5" t="s">
        <v>224</v>
      </c>
      <c r="R3" s="5" t="s">
        <v>80</v>
      </c>
      <c r="S3" s="5" t="s">
        <v>225</v>
      </c>
      <c r="T3" s="11">
        <v>1</v>
      </c>
    </row>
    <row r="4" spans="1:20" ht="32" x14ac:dyDescent="0.2">
      <c r="A4" s="2" t="s">
        <v>7</v>
      </c>
      <c r="B4" s="11" t="s">
        <v>56</v>
      </c>
      <c r="C4" s="33" t="s">
        <v>70</v>
      </c>
      <c r="D4" s="35" t="s">
        <v>70</v>
      </c>
      <c r="E4" s="12" t="s">
        <v>226</v>
      </c>
      <c r="F4" s="4" t="s">
        <v>172</v>
      </c>
      <c r="G4" s="4" t="s">
        <v>175</v>
      </c>
      <c r="H4" s="76"/>
      <c r="I4" s="5">
        <v>2024</v>
      </c>
      <c r="J4" s="5">
        <f t="shared" ref="J4:J12" si="0">2025-I4</f>
        <v>1</v>
      </c>
      <c r="K4" s="5">
        <v>2</v>
      </c>
      <c r="L4" s="5">
        <v>307</v>
      </c>
      <c r="M4" s="45">
        <f>K4/307</f>
        <v>6.5146579804560263E-3</v>
      </c>
      <c r="N4" s="5"/>
      <c r="O4" s="5">
        <v>170</v>
      </c>
      <c r="P4" s="5" t="s">
        <v>78</v>
      </c>
      <c r="Q4" s="5" t="s">
        <v>78</v>
      </c>
      <c r="R4" s="5" t="s">
        <v>80</v>
      </c>
      <c r="S4" s="5" t="s">
        <v>227</v>
      </c>
      <c r="T4" s="11">
        <v>1</v>
      </c>
    </row>
    <row r="5" spans="1:20" ht="16" x14ac:dyDescent="0.2">
      <c r="A5" s="2" t="s">
        <v>8</v>
      </c>
      <c r="B5" s="11" t="s">
        <v>56</v>
      </c>
      <c r="C5" s="33" t="s">
        <v>70</v>
      </c>
      <c r="D5" s="35" t="s">
        <v>70</v>
      </c>
      <c r="E5" s="12" t="s">
        <v>228</v>
      </c>
      <c r="F5" s="4" t="s">
        <v>62</v>
      </c>
      <c r="G5" s="4" t="s">
        <v>175</v>
      </c>
      <c r="H5" s="76"/>
      <c r="I5" s="5">
        <v>2022</v>
      </c>
      <c r="J5" s="5">
        <f t="shared" si="0"/>
        <v>3</v>
      </c>
      <c r="K5" s="5">
        <v>3</v>
      </c>
      <c r="L5" s="5">
        <v>307</v>
      </c>
      <c r="M5" s="45">
        <f>K5/307</f>
        <v>9.7719869706840382E-3</v>
      </c>
      <c r="N5" s="5"/>
      <c r="O5" s="5">
        <v>475</v>
      </c>
      <c r="P5" s="5">
        <v>160</v>
      </c>
      <c r="Q5" s="5" t="s">
        <v>229</v>
      </c>
      <c r="R5" s="5" t="s">
        <v>80</v>
      </c>
      <c r="S5" s="5" t="s">
        <v>230</v>
      </c>
      <c r="T5" s="11">
        <v>1</v>
      </c>
    </row>
    <row r="6" spans="1:20" ht="32" x14ac:dyDescent="0.2">
      <c r="A6" s="2" t="s">
        <v>9</v>
      </c>
      <c r="B6" s="11" t="s">
        <v>56</v>
      </c>
      <c r="C6" s="33" t="s">
        <v>70</v>
      </c>
      <c r="D6" s="35" t="s">
        <v>70</v>
      </c>
      <c r="E6" s="3" t="s">
        <v>231</v>
      </c>
      <c r="F6" s="4" t="s">
        <v>172</v>
      </c>
      <c r="G6" s="4" t="s">
        <v>175</v>
      </c>
      <c r="H6" s="76"/>
      <c r="I6" s="5">
        <v>2023</v>
      </c>
      <c r="J6" s="5">
        <f t="shared" si="0"/>
        <v>2</v>
      </c>
      <c r="K6" s="5" t="s">
        <v>288</v>
      </c>
      <c r="L6" s="5">
        <v>307</v>
      </c>
      <c r="M6" s="45" t="e">
        <f>K6/307</f>
        <v>#VALUE!</v>
      </c>
      <c r="N6" s="5"/>
      <c r="O6" s="5">
        <v>0</v>
      </c>
      <c r="P6" s="5">
        <v>0</v>
      </c>
      <c r="Q6" s="5" t="s">
        <v>232</v>
      </c>
      <c r="R6" s="5" t="s">
        <v>80</v>
      </c>
      <c r="S6" s="5" t="s">
        <v>233</v>
      </c>
      <c r="T6" s="11">
        <v>1</v>
      </c>
    </row>
    <row r="7" spans="1:20" ht="39" customHeight="1" x14ac:dyDescent="0.2">
      <c r="A7" s="2" t="s">
        <v>10</v>
      </c>
      <c r="B7" s="11" t="s">
        <v>56</v>
      </c>
      <c r="C7" s="33" t="s">
        <v>70</v>
      </c>
      <c r="D7" s="35" t="s">
        <v>70</v>
      </c>
      <c r="E7" s="3" t="s">
        <v>234</v>
      </c>
      <c r="F7" s="4" t="s">
        <v>60</v>
      </c>
      <c r="G7" s="4" t="s">
        <v>173</v>
      </c>
      <c r="H7" s="76"/>
      <c r="I7" s="5">
        <v>2024</v>
      </c>
      <c r="J7" s="5">
        <f t="shared" si="0"/>
        <v>1</v>
      </c>
      <c r="K7" s="5">
        <v>20</v>
      </c>
      <c r="L7" s="5">
        <v>307</v>
      </c>
      <c r="M7" s="45">
        <f t="shared" ref="M7:M22" si="1">K7/L7</f>
        <v>6.5146579804560262E-2</v>
      </c>
      <c r="N7" s="5"/>
      <c r="O7" s="5">
        <v>710</v>
      </c>
      <c r="P7" s="5">
        <v>120</v>
      </c>
      <c r="Q7" s="5" t="s">
        <v>185</v>
      </c>
      <c r="R7" s="5" t="s">
        <v>182</v>
      </c>
      <c r="S7" s="5" t="s">
        <v>235</v>
      </c>
      <c r="T7" s="11">
        <v>3</v>
      </c>
    </row>
    <row r="8" spans="1:20" ht="35.25" customHeight="1" x14ac:dyDescent="0.2">
      <c r="A8" s="2" t="s">
        <v>11</v>
      </c>
      <c r="B8" s="11" t="s">
        <v>56</v>
      </c>
      <c r="C8" s="33" t="s">
        <v>70</v>
      </c>
      <c r="D8" s="35" t="s">
        <v>70</v>
      </c>
      <c r="E8" s="12" t="s">
        <v>236</v>
      </c>
      <c r="F8" s="4" t="s">
        <v>59</v>
      </c>
      <c r="G8" s="4" t="s">
        <v>174</v>
      </c>
      <c r="H8" s="76"/>
      <c r="I8" s="5">
        <v>2024</v>
      </c>
      <c r="J8" s="5">
        <f t="shared" si="0"/>
        <v>1</v>
      </c>
      <c r="K8" s="5">
        <v>3</v>
      </c>
      <c r="L8" s="5">
        <v>307</v>
      </c>
      <c r="M8" s="45">
        <f t="shared" si="1"/>
        <v>9.7719869706840382E-3</v>
      </c>
      <c r="N8" s="5"/>
      <c r="O8" s="5">
        <v>200</v>
      </c>
      <c r="P8" s="5" t="s">
        <v>78</v>
      </c>
      <c r="Q8" s="5" t="s">
        <v>183</v>
      </c>
      <c r="R8" s="5" t="s">
        <v>80</v>
      </c>
      <c r="S8" s="5" t="s">
        <v>237</v>
      </c>
      <c r="T8" s="11">
        <v>1</v>
      </c>
    </row>
    <row r="9" spans="1:20" ht="31.5" customHeight="1" x14ac:dyDescent="0.2">
      <c r="A9" s="2" t="s">
        <v>12</v>
      </c>
      <c r="B9" s="11" t="s">
        <v>56</v>
      </c>
      <c r="C9" s="33" t="s">
        <v>70</v>
      </c>
      <c r="D9" s="35" t="s">
        <v>70</v>
      </c>
      <c r="E9" s="12" t="s">
        <v>238</v>
      </c>
      <c r="F9" s="4" t="s">
        <v>59</v>
      </c>
      <c r="G9" s="4" t="s">
        <v>175</v>
      </c>
      <c r="H9" s="76"/>
      <c r="I9" s="5">
        <v>2022</v>
      </c>
      <c r="J9" s="5">
        <f>2025-I9</f>
        <v>3</v>
      </c>
      <c r="K9" s="5">
        <v>5</v>
      </c>
      <c r="L9" s="5">
        <v>307</v>
      </c>
      <c r="M9" s="45">
        <f t="shared" ref="M9:M16" si="2">K9/307</f>
        <v>1.6286644951140065E-2</v>
      </c>
      <c r="N9" s="5"/>
      <c r="O9" s="5">
        <v>1330</v>
      </c>
      <c r="P9" s="5">
        <v>4</v>
      </c>
      <c r="Q9" s="5" t="s">
        <v>239</v>
      </c>
      <c r="R9" s="5" t="s">
        <v>80</v>
      </c>
      <c r="S9" s="5" t="s">
        <v>240</v>
      </c>
      <c r="T9" s="11">
        <v>1</v>
      </c>
    </row>
    <row r="10" spans="1:20" ht="30.75" customHeight="1" x14ac:dyDescent="0.2">
      <c r="A10" s="2" t="s">
        <v>13</v>
      </c>
      <c r="B10" s="11" t="s">
        <v>56</v>
      </c>
      <c r="C10" s="33" t="s">
        <v>70</v>
      </c>
      <c r="D10" s="35" t="s">
        <v>70</v>
      </c>
      <c r="E10" s="12" t="s">
        <v>241</v>
      </c>
      <c r="F10" s="4" t="s">
        <v>172</v>
      </c>
      <c r="G10" s="4" t="s">
        <v>175</v>
      </c>
      <c r="H10" s="76"/>
      <c r="I10" s="5">
        <v>2024</v>
      </c>
      <c r="J10" s="5">
        <f t="shared" si="0"/>
        <v>1</v>
      </c>
      <c r="K10" s="5">
        <v>300</v>
      </c>
      <c r="L10" s="5">
        <v>307</v>
      </c>
      <c r="M10" s="45">
        <f t="shared" si="2"/>
        <v>0.9771986970684039</v>
      </c>
      <c r="N10" s="5"/>
      <c r="O10" s="5">
        <v>0</v>
      </c>
      <c r="P10" s="5">
        <v>4</v>
      </c>
      <c r="Q10" s="5" t="s">
        <v>232</v>
      </c>
      <c r="R10" s="5" t="s">
        <v>80</v>
      </c>
      <c r="S10" s="5" t="s">
        <v>242</v>
      </c>
      <c r="T10" s="11">
        <v>1</v>
      </c>
    </row>
    <row r="11" spans="1:20" ht="42" customHeight="1" x14ac:dyDescent="0.2">
      <c r="A11" s="2" t="s">
        <v>14</v>
      </c>
      <c r="B11" s="11" t="s">
        <v>56</v>
      </c>
      <c r="C11" s="33" t="s">
        <v>70</v>
      </c>
      <c r="D11" s="35" t="s">
        <v>70</v>
      </c>
      <c r="E11" s="12" t="s">
        <v>243</v>
      </c>
      <c r="F11" s="4" t="s">
        <v>139</v>
      </c>
      <c r="G11" s="4" t="s">
        <v>174</v>
      </c>
      <c r="H11" s="76"/>
      <c r="I11" s="5">
        <v>2024</v>
      </c>
      <c r="J11" s="5">
        <f t="shared" si="0"/>
        <v>1</v>
      </c>
      <c r="K11" s="5">
        <v>1</v>
      </c>
      <c r="L11" s="5">
        <v>307</v>
      </c>
      <c r="M11" s="45">
        <f t="shared" si="2"/>
        <v>3.2573289902280132E-3</v>
      </c>
      <c r="N11" s="5"/>
      <c r="O11" s="5">
        <v>1307</v>
      </c>
      <c r="P11" s="5">
        <v>50</v>
      </c>
      <c r="Q11" s="5" t="s">
        <v>244</v>
      </c>
      <c r="R11" s="5" t="s">
        <v>80</v>
      </c>
      <c r="S11" s="5" t="s">
        <v>245</v>
      </c>
      <c r="T11" s="11">
        <v>1</v>
      </c>
    </row>
    <row r="12" spans="1:20" ht="29.25" customHeight="1" x14ac:dyDescent="0.2">
      <c r="A12" s="2" t="s">
        <v>15</v>
      </c>
      <c r="B12" s="11" t="s">
        <v>56</v>
      </c>
      <c r="C12" s="33" t="s">
        <v>70</v>
      </c>
      <c r="D12" s="35" t="s">
        <v>70</v>
      </c>
      <c r="E12" s="12" t="s">
        <v>246</v>
      </c>
      <c r="F12" s="4" t="s">
        <v>139</v>
      </c>
      <c r="G12" s="4" t="s">
        <v>175</v>
      </c>
      <c r="H12" s="76"/>
      <c r="I12" s="5">
        <v>2023</v>
      </c>
      <c r="J12" s="5">
        <f t="shared" si="0"/>
        <v>2</v>
      </c>
      <c r="K12" s="5">
        <v>10</v>
      </c>
      <c r="L12" s="5">
        <v>307</v>
      </c>
      <c r="M12" s="45">
        <f t="shared" si="2"/>
        <v>3.2573289902280131E-2</v>
      </c>
      <c r="N12" s="5"/>
      <c r="O12" s="5">
        <v>285</v>
      </c>
      <c r="P12" s="5">
        <v>50</v>
      </c>
      <c r="Q12" s="5" t="s">
        <v>187</v>
      </c>
      <c r="R12" s="5" t="s">
        <v>80</v>
      </c>
      <c r="S12" s="5" t="s">
        <v>247</v>
      </c>
      <c r="T12" s="11">
        <v>1</v>
      </c>
    </row>
    <row r="13" spans="1:20" ht="24.75" customHeight="1" x14ac:dyDescent="0.2">
      <c r="A13" s="2" t="s">
        <v>16</v>
      </c>
      <c r="B13" s="11" t="s">
        <v>56</v>
      </c>
      <c r="C13" s="33" t="s">
        <v>70</v>
      </c>
      <c r="D13" s="35" t="s">
        <v>70</v>
      </c>
      <c r="E13" s="12" t="s">
        <v>248</v>
      </c>
      <c r="F13" s="4" t="s">
        <v>60</v>
      </c>
      <c r="G13" s="5" t="s">
        <v>63</v>
      </c>
      <c r="H13" s="76"/>
      <c r="I13" s="48">
        <v>2023</v>
      </c>
      <c r="J13" s="5">
        <v>2</v>
      </c>
      <c r="K13" s="5">
        <v>300</v>
      </c>
      <c r="L13" s="5">
        <v>307</v>
      </c>
      <c r="M13" s="45">
        <f t="shared" si="2"/>
        <v>0.9771986970684039</v>
      </c>
      <c r="N13" s="5"/>
      <c r="O13" s="5">
        <v>0</v>
      </c>
      <c r="P13" s="5">
        <v>30</v>
      </c>
      <c r="Q13" s="5" t="s">
        <v>249</v>
      </c>
      <c r="R13" s="5" t="s">
        <v>80</v>
      </c>
      <c r="S13" s="5" t="s">
        <v>78</v>
      </c>
      <c r="T13" s="11">
        <v>0</v>
      </c>
    </row>
    <row r="14" spans="1:20" ht="36" customHeight="1" x14ac:dyDescent="0.2">
      <c r="A14" s="2" t="s">
        <v>17</v>
      </c>
      <c r="B14" s="11" t="s">
        <v>56</v>
      </c>
      <c r="C14" s="33" t="s">
        <v>70</v>
      </c>
      <c r="D14" s="35" t="s">
        <v>70</v>
      </c>
      <c r="E14" s="12" t="s">
        <v>250</v>
      </c>
      <c r="F14" s="4" t="s">
        <v>60</v>
      </c>
      <c r="G14" s="4" t="s">
        <v>63</v>
      </c>
      <c r="H14" s="76"/>
      <c r="I14" s="5">
        <v>2023</v>
      </c>
      <c r="J14" s="5">
        <v>2</v>
      </c>
      <c r="K14" s="5">
        <v>250</v>
      </c>
      <c r="L14" s="5">
        <v>307</v>
      </c>
      <c r="M14" s="45">
        <f t="shared" si="2"/>
        <v>0.81433224755700329</v>
      </c>
      <c r="N14" s="5"/>
      <c r="O14" s="5">
        <v>0</v>
      </c>
      <c r="P14" s="5">
        <v>30</v>
      </c>
      <c r="Q14" s="5" t="s">
        <v>181</v>
      </c>
      <c r="R14" s="5" t="s">
        <v>87</v>
      </c>
      <c r="S14" s="5" t="s">
        <v>78</v>
      </c>
      <c r="T14" s="11">
        <v>0</v>
      </c>
    </row>
    <row r="15" spans="1:20" ht="32.25" customHeight="1" x14ac:dyDescent="0.2">
      <c r="A15" s="2" t="s">
        <v>18</v>
      </c>
      <c r="B15" s="11" t="s">
        <v>56</v>
      </c>
      <c r="C15" s="33" t="s">
        <v>71</v>
      </c>
      <c r="D15" s="35" t="s">
        <v>125</v>
      </c>
      <c r="E15" s="49" t="s">
        <v>251</v>
      </c>
      <c r="F15" s="4" t="s">
        <v>139</v>
      </c>
      <c r="G15" s="4" t="s">
        <v>63</v>
      </c>
      <c r="H15" s="76"/>
      <c r="I15" s="5">
        <v>2024</v>
      </c>
      <c r="J15" s="5">
        <v>1</v>
      </c>
      <c r="K15" s="5">
        <v>66</v>
      </c>
      <c r="L15" s="5">
        <v>307</v>
      </c>
      <c r="M15" s="45">
        <f t="shared" si="2"/>
        <v>0.21498371335504887</v>
      </c>
      <c r="N15" s="5"/>
      <c r="O15" s="5">
        <v>0</v>
      </c>
      <c r="P15" s="5">
        <v>0</v>
      </c>
      <c r="Q15" s="5" t="s">
        <v>78</v>
      </c>
      <c r="R15" s="5" t="s">
        <v>87</v>
      </c>
      <c r="S15" s="5" t="s">
        <v>78</v>
      </c>
      <c r="T15" s="11">
        <v>0</v>
      </c>
    </row>
    <row r="16" spans="1:20" ht="35.25" customHeight="1" x14ac:dyDescent="0.2">
      <c r="A16" s="2" t="s">
        <v>19</v>
      </c>
      <c r="B16" s="11" t="s">
        <v>56</v>
      </c>
      <c r="C16" s="33" t="s">
        <v>71</v>
      </c>
      <c r="D16" s="35" t="s">
        <v>125</v>
      </c>
      <c r="E16" s="12" t="s">
        <v>252</v>
      </c>
      <c r="F16" s="4" t="s">
        <v>62</v>
      </c>
      <c r="G16" s="4" t="s">
        <v>175</v>
      </c>
      <c r="H16" s="76"/>
      <c r="I16" s="5">
        <v>2024</v>
      </c>
      <c r="J16" s="5">
        <v>1</v>
      </c>
      <c r="K16" s="5">
        <v>0</v>
      </c>
      <c r="L16" s="5">
        <v>307</v>
      </c>
      <c r="M16" s="45">
        <f t="shared" si="2"/>
        <v>0</v>
      </c>
      <c r="N16" s="5"/>
      <c r="O16" s="5">
        <v>1000</v>
      </c>
      <c r="P16" s="5">
        <v>0</v>
      </c>
      <c r="Q16" s="5">
        <v>0</v>
      </c>
      <c r="R16" s="5" t="s">
        <v>80</v>
      </c>
      <c r="S16" s="5" t="s">
        <v>253</v>
      </c>
      <c r="T16" s="11">
        <v>1</v>
      </c>
    </row>
    <row r="17" spans="1:20" ht="51" customHeight="1" x14ac:dyDescent="0.2">
      <c r="A17" s="2" t="s">
        <v>20</v>
      </c>
      <c r="B17" s="11" t="s">
        <v>56</v>
      </c>
      <c r="C17" s="36" t="s">
        <v>71</v>
      </c>
      <c r="D17" s="35" t="s">
        <v>125</v>
      </c>
      <c r="E17" s="12" t="s">
        <v>254</v>
      </c>
      <c r="F17" s="4" t="s">
        <v>60</v>
      </c>
      <c r="G17" s="4" t="s">
        <v>173</v>
      </c>
      <c r="H17" s="76"/>
      <c r="I17" s="5">
        <v>2024</v>
      </c>
      <c r="J17" s="5">
        <v>1</v>
      </c>
      <c r="K17" s="5">
        <v>15</v>
      </c>
      <c r="L17" s="5">
        <v>313</v>
      </c>
      <c r="M17" s="45">
        <f t="shared" si="1"/>
        <v>4.7923322683706068E-2</v>
      </c>
      <c r="N17" s="5"/>
      <c r="O17" s="48">
        <v>1500</v>
      </c>
      <c r="P17" s="5" t="s">
        <v>78</v>
      </c>
      <c r="Q17" s="5" t="s">
        <v>78</v>
      </c>
      <c r="R17" s="5" t="s">
        <v>80</v>
      </c>
      <c r="S17" s="11" t="s">
        <v>256</v>
      </c>
      <c r="T17" s="11">
        <v>1</v>
      </c>
    </row>
    <row r="18" spans="1:20" ht="31.5" customHeight="1" x14ac:dyDescent="0.2">
      <c r="A18" s="2" t="s">
        <v>21</v>
      </c>
      <c r="B18" s="11" t="s">
        <v>56</v>
      </c>
      <c r="C18" s="36" t="s">
        <v>71</v>
      </c>
      <c r="D18" s="35" t="s">
        <v>125</v>
      </c>
      <c r="E18" s="49" t="s">
        <v>255</v>
      </c>
      <c r="F18" s="4" t="s">
        <v>139</v>
      </c>
      <c r="G18" s="4" t="s">
        <v>63</v>
      </c>
      <c r="H18" s="76"/>
      <c r="I18" s="5">
        <v>2024</v>
      </c>
      <c r="J18" s="5">
        <v>1</v>
      </c>
      <c r="K18" s="5">
        <v>15</v>
      </c>
      <c r="L18" s="5">
        <v>313</v>
      </c>
      <c r="M18" s="45">
        <f t="shared" si="1"/>
        <v>4.7923322683706068E-2</v>
      </c>
      <c r="N18" s="5"/>
      <c r="O18" s="5">
        <v>1000</v>
      </c>
      <c r="P18" s="5" t="s">
        <v>78</v>
      </c>
      <c r="Q18" s="5" t="s">
        <v>78</v>
      </c>
      <c r="R18" s="5" t="s">
        <v>80</v>
      </c>
      <c r="S18" s="5" t="s">
        <v>78</v>
      </c>
      <c r="T18" s="11">
        <v>0</v>
      </c>
    </row>
    <row r="19" spans="1:20" ht="49.5" customHeight="1" x14ac:dyDescent="0.2">
      <c r="A19" s="2" t="s">
        <v>22</v>
      </c>
      <c r="B19" s="11" t="s">
        <v>56</v>
      </c>
      <c r="C19" s="36" t="s">
        <v>71</v>
      </c>
      <c r="D19" s="35" t="s">
        <v>125</v>
      </c>
      <c r="E19" s="12" t="s">
        <v>257</v>
      </c>
      <c r="F19" s="4" t="s">
        <v>172</v>
      </c>
      <c r="G19" s="4" t="s">
        <v>175</v>
      </c>
      <c r="H19" s="76"/>
      <c r="I19" s="5">
        <v>2024</v>
      </c>
      <c r="J19" s="5">
        <v>1</v>
      </c>
      <c r="K19" s="5">
        <v>4</v>
      </c>
      <c r="L19" s="5">
        <v>313</v>
      </c>
      <c r="M19" s="45">
        <f t="shared" si="1"/>
        <v>1.2779552715654952E-2</v>
      </c>
      <c r="N19" s="5"/>
      <c r="O19" s="5">
        <v>1000</v>
      </c>
      <c r="P19" s="5" t="s">
        <v>184</v>
      </c>
      <c r="Q19" s="5" t="s">
        <v>78</v>
      </c>
      <c r="R19" s="5" t="s">
        <v>80</v>
      </c>
      <c r="S19" s="5" t="s">
        <v>258</v>
      </c>
      <c r="T19" s="11">
        <v>1</v>
      </c>
    </row>
    <row r="20" spans="1:20" ht="48" x14ac:dyDescent="0.2">
      <c r="A20" s="2" t="s">
        <v>23</v>
      </c>
      <c r="B20" s="11" t="s">
        <v>56</v>
      </c>
      <c r="C20" s="36" t="s">
        <v>71</v>
      </c>
      <c r="D20" s="35" t="s">
        <v>125</v>
      </c>
      <c r="E20" s="12" t="s">
        <v>259</v>
      </c>
      <c r="F20" s="4" t="s">
        <v>172</v>
      </c>
      <c r="G20" s="4" t="s">
        <v>175</v>
      </c>
      <c r="H20" s="76"/>
      <c r="I20" s="5">
        <v>2024</v>
      </c>
      <c r="J20" s="5">
        <f>2025-I20</f>
        <v>1</v>
      </c>
      <c r="K20" s="5">
        <v>120</v>
      </c>
      <c r="L20" s="5">
        <v>313</v>
      </c>
      <c r="M20" s="45">
        <f t="shared" si="1"/>
        <v>0.38338658146964855</v>
      </c>
      <c r="N20" s="5"/>
      <c r="O20" s="5">
        <v>0</v>
      </c>
      <c r="P20" s="5">
        <v>0</v>
      </c>
      <c r="Q20" s="5" t="s">
        <v>232</v>
      </c>
      <c r="R20" s="5" t="s">
        <v>80</v>
      </c>
      <c r="S20" s="11" t="s">
        <v>260</v>
      </c>
      <c r="T20" s="11">
        <v>1</v>
      </c>
    </row>
    <row r="21" spans="1:20" ht="15" customHeight="1" x14ac:dyDescent="0.2">
      <c r="A21" s="2" t="s">
        <v>24</v>
      </c>
      <c r="B21" s="11" t="s">
        <v>56</v>
      </c>
      <c r="C21" s="36" t="s">
        <v>71</v>
      </c>
      <c r="D21" s="35" t="s">
        <v>125</v>
      </c>
      <c r="E21" s="49" t="s">
        <v>261</v>
      </c>
      <c r="F21" s="4" t="s">
        <v>139</v>
      </c>
      <c r="G21" s="4" t="s">
        <v>173</v>
      </c>
      <c r="H21" s="76"/>
      <c r="I21" s="5">
        <v>2024</v>
      </c>
      <c r="J21" s="5">
        <v>1</v>
      </c>
      <c r="K21" s="5">
        <v>70</v>
      </c>
      <c r="L21" s="5">
        <v>313</v>
      </c>
      <c r="M21" s="45">
        <f t="shared" si="1"/>
        <v>0.22364217252396165</v>
      </c>
      <c r="N21" s="5"/>
      <c r="O21" s="5">
        <v>3300</v>
      </c>
      <c r="P21" s="5" t="s">
        <v>78</v>
      </c>
      <c r="Q21" s="5" t="s">
        <v>78</v>
      </c>
      <c r="R21" s="5" t="s">
        <v>80</v>
      </c>
      <c r="S21" s="11" t="s">
        <v>78</v>
      </c>
      <c r="T21" s="11">
        <v>0</v>
      </c>
    </row>
    <row r="22" spans="1:20" ht="30" customHeight="1" x14ac:dyDescent="0.2">
      <c r="A22" s="2" t="s">
        <v>25</v>
      </c>
      <c r="B22" s="11" t="s">
        <v>56</v>
      </c>
      <c r="C22" s="36" t="s">
        <v>71</v>
      </c>
      <c r="D22" s="35" t="s">
        <v>125</v>
      </c>
      <c r="E22" s="12" t="s">
        <v>262</v>
      </c>
      <c r="F22" s="4" t="s">
        <v>59</v>
      </c>
      <c r="G22" s="4" t="s">
        <v>174</v>
      </c>
      <c r="H22" s="76"/>
      <c r="I22" s="5">
        <v>2024</v>
      </c>
      <c r="J22" s="5">
        <v>1</v>
      </c>
      <c r="K22" s="5">
        <v>4</v>
      </c>
      <c r="L22" s="5">
        <v>313</v>
      </c>
      <c r="M22" s="45">
        <f t="shared" si="1"/>
        <v>1.2779552715654952E-2</v>
      </c>
      <c r="N22" s="5"/>
      <c r="O22" s="5">
        <v>1000</v>
      </c>
      <c r="P22" s="5" t="s">
        <v>78</v>
      </c>
      <c r="Q22" s="5" t="s">
        <v>78</v>
      </c>
      <c r="R22" s="5" t="s">
        <v>80</v>
      </c>
      <c r="S22" s="11" t="s">
        <v>263</v>
      </c>
      <c r="T22" s="11">
        <v>1</v>
      </c>
    </row>
    <row r="23" spans="1:20" ht="30" customHeight="1" x14ac:dyDescent="0.2">
      <c r="A23" s="2" t="s">
        <v>26</v>
      </c>
      <c r="B23" s="11" t="s">
        <v>56</v>
      </c>
      <c r="C23" s="36" t="s">
        <v>71</v>
      </c>
      <c r="D23" s="35" t="s">
        <v>125</v>
      </c>
      <c r="E23" s="12" t="s">
        <v>264</v>
      </c>
      <c r="F23" s="4" t="s">
        <v>172</v>
      </c>
      <c r="G23" s="4" t="s">
        <v>175</v>
      </c>
      <c r="H23" s="76"/>
      <c r="I23" s="5">
        <v>2024</v>
      </c>
      <c r="J23" s="5">
        <v>1</v>
      </c>
      <c r="K23" s="5">
        <v>80</v>
      </c>
      <c r="L23" s="5">
        <v>313</v>
      </c>
      <c r="M23" s="45">
        <f>K23/L23</f>
        <v>0.25559105431309903</v>
      </c>
      <c r="N23" s="5"/>
      <c r="O23" s="5">
        <v>0</v>
      </c>
      <c r="P23" s="5" t="s">
        <v>78</v>
      </c>
      <c r="Q23" s="5" t="s">
        <v>78</v>
      </c>
      <c r="R23" s="5" t="s">
        <v>80</v>
      </c>
      <c r="S23" s="11" t="s">
        <v>265</v>
      </c>
      <c r="T23" s="11">
        <v>1</v>
      </c>
    </row>
    <row r="24" spans="1:20" ht="15" customHeight="1" x14ac:dyDescent="0.2">
      <c r="A24" s="2" t="s">
        <v>27</v>
      </c>
      <c r="B24" s="11" t="s">
        <v>56</v>
      </c>
      <c r="C24" s="36" t="s">
        <v>71</v>
      </c>
      <c r="D24" s="35" t="s">
        <v>125</v>
      </c>
      <c r="E24" s="3" t="s">
        <v>266</v>
      </c>
      <c r="F24" s="4" t="s">
        <v>172</v>
      </c>
      <c r="G24" s="4" t="s">
        <v>175</v>
      </c>
      <c r="H24" s="76"/>
      <c r="I24" s="5">
        <v>2024</v>
      </c>
      <c r="J24" s="5">
        <v>1</v>
      </c>
      <c r="K24" s="5">
        <v>20</v>
      </c>
      <c r="L24" s="5">
        <v>313</v>
      </c>
      <c r="M24" s="45">
        <f t="shared" ref="M24:M36" si="3">K24/L24</f>
        <v>6.3897763578274758E-2</v>
      </c>
      <c r="N24" s="5"/>
      <c r="O24" s="5">
        <v>1000</v>
      </c>
      <c r="P24" s="5" t="s">
        <v>78</v>
      </c>
      <c r="Q24" s="5" t="s">
        <v>78</v>
      </c>
      <c r="R24" s="5" t="s">
        <v>80</v>
      </c>
      <c r="S24" s="11" t="s">
        <v>267</v>
      </c>
      <c r="T24" s="11">
        <v>1</v>
      </c>
    </row>
    <row r="25" spans="1:20" ht="15" customHeight="1" x14ac:dyDescent="0.2">
      <c r="A25" s="2" t="s">
        <v>28</v>
      </c>
      <c r="B25" s="11" t="s">
        <v>56</v>
      </c>
      <c r="C25" s="36" t="s">
        <v>71</v>
      </c>
      <c r="D25" s="35" t="s">
        <v>125</v>
      </c>
      <c r="E25" s="3" t="s">
        <v>268</v>
      </c>
      <c r="F25" s="4" t="s">
        <v>60</v>
      </c>
      <c r="G25" s="4" t="s">
        <v>63</v>
      </c>
      <c r="H25" s="76"/>
      <c r="I25" s="48">
        <v>2024</v>
      </c>
      <c r="J25" s="5">
        <v>1</v>
      </c>
      <c r="K25" s="5">
        <v>150</v>
      </c>
      <c r="L25" s="5">
        <v>313</v>
      </c>
      <c r="M25" s="45">
        <f t="shared" si="3"/>
        <v>0.47923322683706071</v>
      </c>
      <c r="N25" s="5"/>
      <c r="O25" s="5">
        <v>0</v>
      </c>
      <c r="P25" s="5" t="s">
        <v>78</v>
      </c>
      <c r="Q25" s="5" t="s">
        <v>78</v>
      </c>
      <c r="R25" s="5" t="s">
        <v>80</v>
      </c>
      <c r="S25" s="11" t="s">
        <v>78</v>
      </c>
      <c r="T25" s="11">
        <v>0</v>
      </c>
    </row>
    <row r="26" spans="1:20" ht="15" customHeight="1" x14ac:dyDescent="0.2">
      <c r="A26" s="2" t="s">
        <v>29</v>
      </c>
      <c r="B26" s="11" t="s">
        <v>56</v>
      </c>
      <c r="C26" s="36" t="s">
        <v>71</v>
      </c>
      <c r="D26" s="35" t="s">
        <v>125</v>
      </c>
      <c r="E26" s="3" t="s">
        <v>269</v>
      </c>
      <c r="F26" s="4" t="s">
        <v>172</v>
      </c>
      <c r="G26" s="4" t="s">
        <v>175</v>
      </c>
      <c r="H26" s="76"/>
      <c r="I26" s="5">
        <v>2024</v>
      </c>
      <c r="J26" s="5">
        <v>1</v>
      </c>
      <c r="K26" s="46">
        <v>300</v>
      </c>
      <c r="L26" s="5">
        <v>313</v>
      </c>
      <c r="M26" s="45">
        <f t="shared" si="3"/>
        <v>0.95846645367412142</v>
      </c>
      <c r="N26" s="5"/>
      <c r="O26" s="5">
        <v>0</v>
      </c>
      <c r="P26" s="5" t="s">
        <v>78</v>
      </c>
      <c r="Q26" s="5" t="s">
        <v>78</v>
      </c>
      <c r="R26" s="5" t="s">
        <v>80</v>
      </c>
      <c r="S26" s="11" t="s">
        <v>78</v>
      </c>
      <c r="T26" s="11">
        <v>0</v>
      </c>
    </row>
    <row r="27" spans="1:20" ht="32" x14ac:dyDescent="0.2">
      <c r="A27" s="2" t="s">
        <v>30</v>
      </c>
      <c r="B27" s="11" t="s">
        <v>56</v>
      </c>
      <c r="C27" s="36" t="s">
        <v>71</v>
      </c>
      <c r="D27" s="35" t="s">
        <v>125</v>
      </c>
      <c r="E27" s="12" t="s">
        <v>270</v>
      </c>
      <c r="F27" s="4" t="s">
        <v>60</v>
      </c>
      <c r="G27" s="4" t="s">
        <v>173</v>
      </c>
      <c r="H27" s="76"/>
      <c r="I27" s="5">
        <v>2024</v>
      </c>
      <c r="J27" s="5">
        <v>1</v>
      </c>
      <c r="K27" s="5">
        <v>17</v>
      </c>
      <c r="L27" s="5">
        <v>313</v>
      </c>
      <c r="M27" s="45">
        <f>K27/L27</f>
        <v>5.4313099041533544E-2</v>
      </c>
      <c r="N27" s="5"/>
      <c r="O27" s="5">
        <v>1000</v>
      </c>
      <c r="P27" s="5" t="s">
        <v>78</v>
      </c>
      <c r="Q27" s="5" t="s">
        <v>78</v>
      </c>
      <c r="R27" s="5" t="s">
        <v>80</v>
      </c>
      <c r="S27" s="11" t="s">
        <v>271</v>
      </c>
      <c r="T27" s="11">
        <v>1</v>
      </c>
    </row>
    <row r="28" spans="1:20" ht="16" x14ac:dyDescent="0.2">
      <c r="A28" s="2" t="s">
        <v>31</v>
      </c>
      <c r="B28" s="11" t="s">
        <v>56</v>
      </c>
      <c r="C28" s="36" t="s">
        <v>71</v>
      </c>
      <c r="D28" s="35" t="s">
        <v>125</v>
      </c>
      <c r="E28" s="12" t="s">
        <v>272</v>
      </c>
      <c r="F28" s="4" t="s">
        <v>60</v>
      </c>
      <c r="G28" s="4" t="s">
        <v>173</v>
      </c>
      <c r="H28" s="76"/>
      <c r="I28" s="5">
        <v>2024</v>
      </c>
      <c r="J28" s="5">
        <v>1</v>
      </c>
      <c r="K28" s="5">
        <v>17</v>
      </c>
      <c r="L28" s="5">
        <v>313</v>
      </c>
      <c r="M28" s="45">
        <f t="shared" si="3"/>
        <v>5.4313099041533544E-2</v>
      </c>
      <c r="N28" s="5"/>
      <c r="O28" s="5">
        <v>1500</v>
      </c>
      <c r="P28" s="5" t="s">
        <v>78</v>
      </c>
      <c r="Q28" s="5" t="s">
        <v>78</v>
      </c>
      <c r="R28" s="5" t="s">
        <v>80</v>
      </c>
      <c r="S28" s="11" t="s">
        <v>271</v>
      </c>
      <c r="T28" s="11">
        <v>1</v>
      </c>
    </row>
    <row r="29" spans="1:20" ht="34.5" customHeight="1" x14ac:dyDescent="0.2">
      <c r="A29" s="2" t="s">
        <v>32</v>
      </c>
      <c r="B29" s="11" t="s">
        <v>56</v>
      </c>
      <c r="C29" s="47" t="s">
        <v>71</v>
      </c>
      <c r="D29" s="35" t="s">
        <v>125</v>
      </c>
      <c r="E29" s="12" t="s">
        <v>273</v>
      </c>
      <c r="F29" s="4" t="s">
        <v>60</v>
      </c>
      <c r="G29" s="4" t="s">
        <v>173</v>
      </c>
      <c r="H29" s="76"/>
      <c r="I29" s="5">
        <v>2024</v>
      </c>
      <c r="J29" s="5">
        <v>1</v>
      </c>
      <c r="K29" s="5">
        <v>13</v>
      </c>
      <c r="L29" s="5">
        <v>313</v>
      </c>
      <c r="M29" s="45">
        <f t="shared" si="3"/>
        <v>4.1533546325878593E-2</v>
      </c>
      <c r="N29" s="5"/>
      <c r="O29" s="5">
        <v>2000</v>
      </c>
      <c r="P29" s="5">
        <v>50</v>
      </c>
      <c r="Q29" s="5" t="s">
        <v>185</v>
      </c>
      <c r="R29" s="5" t="s">
        <v>80</v>
      </c>
      <c r="S29" s="11" t="s">
        <v>271</v>
      </c>
      <c r="T29" s="11">
        <v>1</v>
      </c>
    </row>
    <row r="30" spans="1:20" ht="18.75" customHeight="1" x14ac:dyDescent="0.2">
      <c r="A30" s="2" t="s">
        <v>33</v>
      </c>
      <c r="B30" s="11" t="s">
        <v>56</v>
      </c>
      <c r="C30" s="47" t="s">
        <v>71</v>
      </c>
      <c r="D30" s="35" t="s">
        <v>125</v>
      </c>
      <c r="E30" s="3" t="s">
        <v>274</v>
      </c>
      <c r="F30" s="4" t="s">
        <v>60</v>
      </c>
      <c r="G30" s="4" t="s">
        <v>63</v>
      </c>
      <c r="H30" s="76"/>
      <c r="I30" s="5">
        <v>2024</v>
      </c>
      <c r="J30" s="5">
        <v>1</v>
      </c>
      <c r="K30" s="5">
        <v>20</v>
      </c>
      <c r="L30" s="5">
        <v>313</v>
      </c>
      <c r="M30" s="45">
        <f t="shared" si="3"/>
        <v>6.3897763578274758E-2</v>
      </c>
      <c r="N30" s="5"/>
      <c r="O30" s="5">
        <v>1500</v>
      </c>
      <c r="P30" s="5" t="s">
        <v>78</v>
      </c>
      <c r="Q30" s="5" t="s">
        <v>78</v>
      </c>
      <c r="R30" s="5" t="s">
        <v>80</v>
      </c>
      <c r="S30" s="5" t="s">
        <v>78</v>
      </c>
      <c r="T30" s="11">
        <v>0</v>
      </c>
    </row>
    <row r="31" spans="1:20" ht="23.25" customHeight="1" x14ac:dyDescent="0.2">
      <c r="A31" s="2" t="s">
        <v>34</v>
      </c>
      <c r="B31" s="11" t="s">
        <v>56</v>
      </c>
      <c r="C31" s="47" t="s">
        <v>71</v>
      </c>
      <c r="D31" s="33" t="s">
        <v>71</v>
      </c>
      <c r="E31" s="3" t="s">
        <v>275</v>
      </c>
      <c r="F31" s="4" t="s">
        <v>62</v>
      </c>
      <c r="G31" s="4" t="s">
        <v>175</v>
      </c>
      <c r="H31" s="76"/>
      <c r="I31" s="5">
        <v>2024</v>
      </c>
      <c r="J31" s="5">
        <v>1</v>
      </c>
      <c r="K31" s="5">
        <v>2</v>
      </c>
      <c r="L31" s="5">
        <v>314</v>
      </c>
      <c r="M31" s="45">
        <f t="shared" si="3"/>
        <v>6.369426751592357E-3</v>
      </c>
      <c r="N31" s="5"/>
      <c r="O31" s="5">
        <v>1000</v>
      </c>
      <c r="P31" s="46" t="s">
        <v>78</v>
      </c>
      <c r="Q31" s="5" t="s">
        <v>78</v>
      </c>
      <c r="R31" s="5" t="s">
        <v>80</v>
      </c>
      <c r="S31" s="5" t="s">
        <v>276</v>
      </c>
      <c r="T31" s="11">
        <v>1</v>
      </c>
    </row>
    <row r="32" spans="1:20" ht="43.5" customHeight="1" x14ac:dyDescent="0.2">
      <c r="A32" s="2" t="s">
        <v>35</v>
      </c>
      <c r="B32" s="11" t="s">
        <v>56</v>
      </c>
      <c r="C32" s="47" t="s">
        <v>71</v>
      </c>
      <c r="D32" s="33" t="s">
        <v>71</v>
      </c>
      <c r="E32" s="12" t="s">
        <v>277</v>
      </c>
      <c r="F32" s="4" t="s">
        <v>172</v>
      </c>
      <c r="G32" s="4" t="s">
        <v>175</v>
      </c>
      <c r="H32" s="76"/>
      <c r="I32" s="5">
        <v>2024</v>
      </c>
      <c r="J32" s="5">
        <v>1</v>
      </c>
      <c r="K32" s="5">
        <v>25</v>
      </c>
      <c r="L32" s="5">
        <v>314</v>
      </c>
      <c r="M32" s="45">
        <f t="shared" si="3"/>
        <v>7.9617834394904455E-2</v>
      </c>
      <c r="N32" s="5"/>
      <c r="O32" s="5">
        <v>1000</v>
      </c>
      <c r="P32" s="5" t="s">
        <v>78</v>
      </c>
      <c r="Q32" s="5" t="s">
        <v>78</v>
      </c>
      <c r="R32" s="5" t="s">
        <v>80</v>
      </c>
      <c r="S32" s="5" t="s">
        <v>278</v>
      </c>
      <c r="T32" s="11">
        <v>2</v>
      </c>
    </row>
    <row r="33" spans="1:20" ht="33.75" customHeight="1" x14ac:dyDescent="0.2">
      <c r="A33" s="2" t="s">
        <v>36</v>
      </c>
      <c r="B33" s="11" t="s">
        <v>56</v>
      </c>
      <c r="C33" s="47" t="s">
        <v>71</v>
      </c>
      <c r="D33" s="33" t="s">
        <v>71</v>
      </c>
      <c r="E33" s="12" t="s">
        <v>279</v>
      </c>
      <c r="F33" s="4" t="s">
        <v>59</v>
      </c>
      <c r="G33" s="4" t="s">
        <v>174</v>
      </c>
      <c r="H33" s="76"/>
      <c r="I33" s="5">
        <v>2024</v>
      </c>
      <c r="J33" s="5">
        <v>1</v>
      </c>
      <c r="K33" s="5">
        <v>2</v>
      </c>
      <c r="L33" s="5">
        <v>314</v>
      </c>
      <c r="M33" s="45">
        <f t="shared" si="3"/>
        <v>6.369426751592357E-3</v>
      </c>
      <c r="N33" s="5"/>
      <c r="O33" s="5">
        <v>1500</v>
      </c>
      <c r="P33" s="5">
        <v>11</v>
      </c>
      <c r="Q33" s="5" t="s">
        <v>186</v>
      </c>
      <c r="R33" s="5" t="s">
        <v>80</v>
      </c>
      <c r="S33" s="5" t="s">
        <v>280</v>
      </c>
      <c r="T33" s="11">
        <v>1</v>
      </c>
    </row>
    <row r="34" spans="1:20" ht="33.75" customHeight="1" x14ac:dyDescent="0.2">
      <c r="A34" s="2" t="s">
        <v>37</v>
      </c>
      <c r="B34" s="11" t="s">
        <v>56</v>
      </c>
      <c r="C34" s="47" t="s">
        <v>71</v>
      </c>
      <c r="D34" s="33" t="s">
        <v>71</v>
      </c>
      <c r="E34" s="49" t="s">
        <v>281</v>
      </c>
      <c r="F34" s="4" t="s">
        <v>60</v>
      </c>
      <c r="G34" s="4" t="s">
        <v>63</v>
      </c>
      <c r="H34" s="76"/>
      <c r="I34" s="5">
        <v>2024</v>
      </c>
      <c r="J34" s="5">
        <v>1</v>
      </c>
      <c r="K34" s="5">
        <v>39</v>
      </c>
      <c r="L34" s="5">
        <v>314</v>
      </c>
      <c r="M34" s="45">
        <f t="shared" si="3"/>
        <v>0.12420382165605096</v>
      </c>
      <c r="N34" s="5"/>
      <c r="O34" s="5">
        <v>1500</v>
      </c>
      <c r="P34" s="5" t="s">
        <v>184</v>
      </c>
      <c r="Q34" s="5" t="s">
        <v>78</v>
      </c>
      <c r="R34" s="5" t="s">
        <v>180</v>
      </c>
      <c r="S34" s="5" t="s">
        <v>98</v>
      </c>
      <c r="T34" s="11">
        <v>0</v>
      </c>
    </row>
    <row r="35" spans="1:20" ht="30" customHeight="1" x14ac:dyDescent="0.2">
      <c r="A35" s="2" t="s">
        <v>38</v>
      </c>
      <c r="B35" s="11" t="s">
        <v>56</v>
      </c>
      <c r="C35" s="47" t="s">
        <v>71</v>
      </c>
      <c r="D35" s="33" t="s">
        <v>71</v>
      </c>
      <c r="E35" s="3" t="s">
        <v>282</v>
      </c>
      <c r="F35" s="4" t="s">
        <v>139</v>
      </c>
      <c r="G35" s="4" t="s">
        <v>175</v>
      </c>
      <c r="H35" s="76"/>
      <c r="I35" s="5">
        <v>2024</v>
      </c>
      <c r="J35" s="5">
        <v>1</v>
      </c>
      <c r="K35" s="5">
        <v>5</v>
      </c>
      <c r="L35" s="5">
        <v>314</v>
      </c>
      <c r="M35" s="45">
        <f t="shared" si="3"/>
        <v>1.5923566878980892E-2</v>
      </c>
      <c r="N35" s="5"/>
      <c r="O35" s="5">
        <v>560</v>
      </c>
      <c r="P35" s="5" t="s">
        <v>78</v>
      </c>
      <c r="Q35" s="5" t="s">
        <v>283</v>
      </c>
      <c r="R35" s="5" t="s">
        <v>180</v>
      </c>
      <c r="S35" s="5" t="s">
        <v>284</v>
      </c>
      <c r="T35" s="11">
        <v>1</v>
      </c>
    </row>
    <row r="36" spans="1:20" ht="36.75" customHeight="1" x14ac:dyDescent="0.2">
      <c r="A36" s="2" t="s">
        <v>39</v>
      </c>
      <c r="B36" s="11" t="s">
        <v>56</v>
      </c>
      <c r="C36" s="47" t="s">
        <v>71</v>
      </c>
      <c r="D36" s="33" t="s">
        <v>71</v>
      </c>
      <c r="E36" s="12" t="s">
        <v>285</v>
      </c>
      <c r="F36" s="4" t="s">
        <v>60</v>
      </c>
      <c r="G36" s="4" t="s">
        <v>63</v>
      </c>
      <c r="H36" s="76"/>
      <c r="I36" s="5">
        <v>2024</v>
      </c>
      <c r="J36" s="5">
        <v>1</v>
      </c>
      <c r="K36" s="5">
        <v>62</v>
      </c>
      <c r="L36" s="5">
        <v>314</v>
      </c>
      <c r="M36" s="45">
        <f t="shared" si="3"/>
        <v>0.19745222929936307</v>
      </c>
      <c r="N36" s="5"/>
      <c r="O36" s="5">
        <v>2000</v>
      </c>
      <c r="P36" s="5" t="s">
        <v>78</v>
      </c>
      <c r="Q36" s="5" t="s">
        <v>78</v>
      </c>
      <c r="R36" s="5" t="s">
        <v>180</v>
      </c>
      <c r="S36" s="5" t="s">
        <v>98</v>
      </c>
      <c r="T36" s="11">
        <v>0</v>
      </c>
    </row>
    <row r="37" spans="1:20" ht="27.75" customHeight="1" x14ac:dyDescent="0.2">
      <c r="A37" s="2" t="s">
        <v>40</v>
      </c>
      <c r="B37" s="11" t="s">
        <v>56</v>
      </c>
      <c r="C37" s="47" t="s">
        <v>71</v>
      </c>
      <c r="D37" s="33" t="s">
        <v>71</v>
      </c>
      <c r="E37" s="4" t="s">
        <v>286</v>
      </c>
      <c r="F37" s="12" t="s">
        <v>60</v>
      </c>
      <c r="G37" s="12" t="s">
        <v>63</v>
      </c>
      <c r="H37" s="76"/>
      <c r="I37" s="5">
        <v>2024</v>
      </c>
      <c r="J37" s="5">
        <v>1</v>
      </c>
      <c r="K37" s="5">
        <v>40</v>
      </c>
      <c r="L37" s="5">
        <v>314</v>
      </c>
      <c r="M37" s="45">
        <f>K37/L37</f>
        <v>0.12738853503184713</v>
      </c>
      <c r="N37" s="5"/>
      <c r="O37" s="5">
        <v>1500</v>
      </c>
      <c r="P37" s="5" t="s">
        <v>78</v>
      </c>
      <c r="Q37" s="5" t="s">
        <v>185</v>
      </c>
      <c r="R37" s="5" t="s">
        <v>180</v>
      </c>
      <c r="S37" s="11" t="s">
        <v>98</v>
      </c>
      <c r="T37" s="11">
        <v>0</v>
      </c>
    </row>
    <row r="38" spans="1:20" ht="21" customHeight="1" x14ac:dyDescent="0.2">
      <c r="A38" s="72" t="s">
        <v>41</v>
      </c>
      <c r="B38" s="11" t="s">
        <v>56</v>
      </c>
      <c r="C38" s="47" t="s">
        <v>71</v>
      </c>
      <c r="D38" s="33" t="s">
        <v>71</v>
      </c>
      <c r="E38" s="17" t="s">
        <v>287</v>
      </c>
      <c r="F38" s="33" t="s">
        <v>139</v>
      </c>
      <c r="G38" s="12" t="s">
        <v>63</v>
      </c>
      <c r="H38" s="76"/>
      <c r="I38" s="5">
        <v>2024</v>
      </c>
      <c r="J38" s="5">
        <v>1</v>
      </c>
      <c r="K38" s="4">
        <v>112</v>
      </c>
      <c r="L38" s="5">
        <v>314</v>
      </c>
      <c r="M38" s="45">
        <f>K38/L38</f>
        <v>0.35668789808917195</v>
      </c>
      <c r="N38" s="5"/>
      <c r="O38" s="4">
        <v>2000</v>
      </c>
      <c r="P38" s="5" t="s">
        <v>78</v>
      </c>
      <c r="Q38" s="5" t="s">
        <v>78</v>
      </c>
      <c r="R38" s="5" t="s">
        <v>80</v>
      </c>
      <c r="S38" s="5" t="s">
        <v>98</v>
      </c>
      <c r="T38" s="9">
        <v>0</v>
      </c>
    </row>
    <row r="39" spans="1:20" x14ac:dyDescent="0.2">
      <c r="A39" s="67" t="s">
        <v>52</v>
      </c>
      <c r="B39" s="60"/>
      <c r="C39" s="60"/>
      <c r="D39" s="60"/>
      <c r="E39" s="60"/>
      <c r="F39" s="60" t="s">
        <v>220</v>
      </c>
      <c r="G39" s="61"/>
      <c r="H39" s="77"/>
      <c r="I39" s="62"/>
      <c r="J39" s="63"/>
      <c r="K39" s="68">
        <f>SUBTOTAL(9,K3:K38)</f>
        <v>2092</v>
      </c>
      <c r="L39" s="64"/>
      <c r="M39" s="69" t="e">
        <f>SUBTOTAL(101,M3:M38)</f>
        <v>#VALUE!</v>
      </c>
      <c r="N39" s="70">
        <f>SUBTOTAL(9,N3:N38)</f>
        <v>0</v>
      </c>
      <c r="O39" s="70">
        <f>SUBTOTAL(9,O3:O38)</f>
        <v>31637</v>
      </c>
      <c r="P39" s="5"/>
      <c r="Q39" s="65"/>
      <c r="R39" s="66"/>
      <c r="S39" s="81">
        <f>SUBTOTAL(9,T3:T38)</f>
        <v>27</v>
      </c>
      <c r="T39" s="82"/>
    </row>
    <row r="40" spans="1:20" ht="16" x14ac:dyDescent="0.2">
      <c r="E40" s="80" t="str">
        <f>SUBTOTAL(3,A3:A38)&amp;" CSR Actions Globally"</f>
        <v>36 CSR Actions Globally</v>
      </c>
      <c r="F40" s="57" t="s">
        <v>60</v>
      </c>
      <c r="G40" s="38" t="str" cm="1">
        <f t="array" aca="1" ref="G40" ca="1">SUMPRODUCT(SUBTOTAL(3,OFFSET(F3:F38,ROW(F3:F38)-MIN(ROW(F3:F38)),,1,)),N(F3:F38=F40))&amp;" Actions"</f>
        <v>12 Actions</v>
      </c>
      <c r="I40" s="58" cm="1">
        <f t="array" aca="1" ref="I40" ca="1">(SUMPRODUCT(SUBTOTAL(3,OFFSET(F3:F38,ROW(F3:F38)-MIN(ROW(F3:F38)),,1,)),N(F3:F38=F40)))/SUBTOTAL(3,A3:A38)</f>
        <v>0.33333333333333331</v>
      </c>
      <c r="M40" s="42"/>
      <c r="N40" s="42"/>
    </row>
    <row r="41" spans="1:20" ht="16" x14ac:dyDescent="0.2">
      <c r="E41" s="80"/>
      <c r="F41" s="43" t="s">
        <v>59</v>
      </c>
      <c r="G41" s="4" t="str" cm="1">
        <f t="array" aca="1" ref="G41" ca="1">SUMPRODUCT(SUBTOTAL(3,OFFSET(F3:F38,ROW(F3:F38)-MIN(ROW(F3:F38)),,1,)),N(F3:F38=F41))&amp;" Actions"</f>
        <v>4 Actions</v>
      </c>
      <c r="I41" s="55" cm="1">
        <f t="array" aca="1" ref="I41" ca="1">(SUMPRODUCT(SUBTOTAL(3,OFFSET(F3:F38,ROW(F3:F38)-MIN(ROW(F3:F38)),,1,)),N(F3:F38=F41)))/SUBTOTAL(3,A3:A38)</f>
        <v>0.1111111111111111</v>
      </c>
    </row>
    <row r="42" spans="1:20" ht="16" x14ac:dyDescent="0.2">
      <c r="E42" s="80"/>
      <c r="F42" s="43" t="s">
        <v>139</v>
      </c>
      <c r="G42" s="4" t="str" cm="1">
        <f t="array" aca="1" ref="G42" ca="1">SUMPRODUCT(SUBTOTAL(3,OFFSET(F3:F38,ROW(F3:F38)-MIN(ROW(F3:F38)),,1,)),N(F3:F38=F42))&amp;" Actions"</f>
        <v>7 Actions</v>
      </c>
      <c r="I42" s="55" cm="1">
        <f t="array" aca="1" ref="I42" ca="1">(SUMPRODUCT(SUBTOTAL(3,OFFSET(F3:F38,ROW(F3:F38)-MIN(ROW(F3:F38)),,1,)),N(F3:F38=F42)))/SUBTOTAL(3,A3:A38)</f>
        <v>0.19444444444444445</v>
      </c>
    </row>
    <row r="43" spans="1:20" ht="16" x14ac:dyDescent="0.2">
      <c r="E43" s="80"/>
      <c r="F43" s="43" t="s">
        <v>62</v>
      </c>
      <c r="G43" s="4" t="str" cm="1">
        <f t="array" aca="1" ref="G43" ca="1">SUMPRODUCT(SUBTOTAL(3,OFFSET(F3:F38,ROW(F3:F38)-MIN(ROW(F3:F38)),,1,)),N(F3:F38=F43))&amp;" Actions"</f>
        <v>3 Actions</v>
      </c>
      <c r="I43" s="55" cm="1">
        <f t="array" aca="1" ref="I43" ca="1">(SUMPRODUCT(SUBTOTAL(3,OFFSET(F3:F38,ROW(F3:F38)-MIN(ROW(F3:F38)),,1,)),N(F3:F38=F43)))/SUBTOTAL(3,A3:A38)</f>
        <v>8.3333333333333329E-2</v>
      </c>
    </row>
    <row r="44" spans="1:20" ht="12" customHeight="1" x14ac:dyDescent="0.2">
      <c r="E44" s="80"/>
      <c r="F44" s="43" t="s">
        <v>172</v>
      </c>
      <c r="G44" s="4" t="str" cm="1">
        <f t="array" aca="1" ref="G44" ca="1">SUMPRODUCT(SUBTOTAL(3,OFFSET(F3:F38,ROW(F3:F38)-MIN(ROW(F3:F38)),,1,)),N(F3:F38=F44))&amp;" Actions"</f>
        <v>10 Actions</v>
      </c>
      <c r="I44" s="55" cm="1">
        <f t="array" aca="1" ref="I44" ca="1">(SUMPRODUCT(SUBTOTAL(3,OFFSET(F3:F38,ROW(F3:F38)-MIN(ROW(F3:F38)),,1,)),N(F3:F38=F44)))/SUBTOTAL(3,A3:A38)</f>
        <v>0.27777777777777779</v>
      </c>
    </row>
    <row r="45" spans="1:20" ht="23.25" customHeight="1" x14ac:dyDescent="0.2">
      <c r="E45" s="80"/>
      <c r="F45" s="43" t="s">
        <v>63</v>
      </c>
      <c r="G45" s="4" t="str" cm="1">
        <f t="array" aca="1" ref="G45" ca="1">SUMPRODUCT(SUBTOTAL(3,OFFSET(F3:F38,ROW(F3:F38)-MIN(ROW(F3:F38)),,1,)),N(F3:F38=F45))&amp;" Actions"</f>
        <v>0 Actions</v>
      </c>
      <c r="H45" s="56"/>
      <c r="I45" s="55" cm="1">
        <f t="array" aca="1" ref="I45" ca="1">(SUMPRODUCT(SUBTOTAL(3,OFFSET(F3:F38,ROW(F3:F38)-MIN(ROW(F3:F38)),,1,)),N(F3:F38=F45)))/SUBTOTAL(3,A3:A38)</f>
        <v>0</v>
      </c>
    </row>
    <row r="46" spans="1:20" x14ac:dyDescent="0.2">
      <c r="E46" s="54"/>
    </row>
    <row r="47" spans="1:20" x14ac:dyDescent="0.2">
      <c r="E47" s="54"/>
    </row>
  </sheetData>
  <autoFilter ref="A1:T45" xr:uid="{AA80A949-BF93-4A80-BFDA-1079B5CAC5A3}"/>
  <mergeCells count="21">
    <mergeCell ref="S39:T39"/>
    <mergeCell ref="E40:E45"/>
    <mergeCell ref="B1:B2"/>
    <mergeCell ref="D1:D2"/>
    <mergeCell ref="E1:E2"/>
    <mergeCell ref="F1:F2"/>
    <mergeCell ref="A1:A2"/>
    <mergeCell ref="C1:C2"/>
    <mergeCell ref="H3:H39"/>
    <mergeCell ref="R1:R2"/>
    <mergeCell ref="H1:H2"/>
    <mergeCell ref="Q1:Q2"/>
    <mergeCell ref="P1:P2"/>
    <mergeCell ref="L1:L2"/>
    <mergeCell ref="I1:I2"/>
    <mergeCell ref="J1:J2"/>
    <mergeCell ref="K1:K2"/>
    <mergeCell ref="M1:M2"/>
    <mergeCell ref="O1:O2"/>
    <mergeCell ref="N1:N2"/>
    <mergeCell ref="G1:G2"/>
  </mergeCells>
  <phoneticPr fontId="2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D5A07A8-0B1D-45F9-8FC3-1736C6242D00}">
          <x14:formula1>
            <xm:f>categories!$E$4:$E$9</xm:f>
          </x14:formula1>
          <xm:sqref>F3:F38</xm:sqref>
        </x14:dataValidation>
        <x14:dataValidation type="list" allowBlank="1" showInputMessage="1" showErrorMessage="1" xr:uid="{F8E03519-AE37-406E-BFC2-625E52B03E7E}">
          <x14:formula1>
            <xm:f>categories!$F$4:$F$7</xm:f>
          </x14:formula1>
          <xm:sqref>G3:G38</xm:sqref>
        </x14:dataValidation>
        <x14:dataValidation type="list" allowBlank="1" showInputMessage="1" showErrorMessage="1" xr:uid="{8C81A634-5891-44F6-BF6D-AD1C7BC0002D}">
          <x14:formula1>
            <xm:f>categories!$C$4:$C$11</xm:f>
          </x14:formula1>
          <xm:sqref>C3:C38</xm:sqref>
        </x14:dataValidation>
        <x14:dataValidation type="list" allowBlank="1" showInputMessage="1" showErrorMessage="1" xr:uid="{FCAFAAFC-5262-4D57-A90A-9CD078984B73}">
          <x14:formula1>
            <xm:f>categories!$D$4:$D$20</xm:f>
          </x14:formula1>
          <xm:sqref>D3:D38</xm:sqref>
        </x14:dataValidation>
        <x14:dataValidation type="list" allowBlank="1" showInputMessage="1" showErrorMessage="1" xr:uid="{CBF3E9AA-470E-445E-A8A7-B6DC523FACFA}">
          <x14:formula1>
            <xm:f>categories!$B$4:$B$8</xm:f>
          </x14:formula1>
          <xm:sqref>B3:B38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851F-94FA-4D1D-B1CE-4B5C80AED719}">
  <dimension ref="A1:F117"/>
  <sheetViews>
    <sheetView workbookViewId="0">
      <selection activeCell="G5" sqref="F5:G5"/>
    </sheetView>
  </sheetViews>
  <sheetFormatPr baseColWidth="10" defaultRowHeight="15" x14ac:dyDescent="0.2"/>
  <cols>
    <col min="2" max="2" width="15.5" customWidth="1"/>
    <col min="4" max="4" width="14.6640625" customWidth="1"/>
    <col min="5" max="5" width="54.33203125" customWidth="1"/>
    <col min="6" max="6" width="17.83203125" customWidth="1"/>
  </cols>
  <sheetData>
    <row r="1" spans="1:6" x14ac:dyDescent="0.2">
      <c r="A1" s="73" t="s">
        <v>0</v>
      </c>
      <c r="B1" s="73" t="s">
        <v>54</v>
      </c>
      <c r="C1" s="73" t="s">
        <v>53</v>
      </c>
      <c r="D1" s="73" t="s">
        <v>1</v>
      </c>
      <c r="E1" s="73" t="s">
        <v>73</v>
      </c>
      <c r="F1" s="94" t="s">
        <v>176</v>
      </c>
    </row>
    <row r="2" spans="1:6" x14ac:dyDescent="0.2">
      <c r="A2" s="74"/>
      <c r="B2" s="74"/>
      <c r="C2" s="74"/>
      <c r="D2" s="74"/>
      <c r="E2" s="74"/>
      <c r="F2" s="95"/>
    </row>
    <row r="3" spans="1:6" ht="24" customHeight="1" x14ac:dyDescent="0.2">
      <c r="A3" s="2" t="s">
        <v>6</v>
      </c>
      <c r="B3" s="11" t="s">
        <v>56</v>
      </c>
      <c r="C3" s="33" t="s">
        <v>70</v>
      </c>
      <c r="D3" s="35" t="s">
        <v>70</v>
      </c>
      <c r="E3" s="12"/>
      <c r="F3" s="59"/>
    </row>
    <row r="4" spans="1:6" ht="25.5" customHeight="1" x14ac:dyDescent="0.2">
      <c r="A4" s="2" t="s">
        <v>7</v>
      </c>
      <c r="B4" s="11" t="s">
        <v>56</v>
      </c>
      <c r="C4" s="33" t="s">
        <v>70</v>
      </c>
      <c r="D4" s="35" t="s">
        <v>70</v>
      </c>
      <c r="E4" s="12"/>
      <c r="F4" s="44"/>
    </row>
    <row r="5" spans="1:6" ht="19" x14ac:dyDescent="0.2">
      <c r="A5" s="2" t="s">
        <v>8</v>
      </c>
      <c r="B5" s="11" t="s">
        <v>56</v>
      </c>
      <c r="C5" s="33" t="s">
        <v>70</v>
      </c>
      <c r="D5" s="35" t="s">
        <v>70</v>
      </c>
      <c r="E5" s="12"/>
      <c r="F5" s="44"/>
    </row>
    <row r="6" spans="1:6" ht="19" x14ac:dyDescent="0.2">
      <c r="A6" s="2" t="s">
        <v>9</v>
      </c>
      <c r="B6" s="11" t="s">
        <v>56</v>
      </c>
      <c r="C6" s="33" t="s">
        <v>70</v>
      </c>
      <c r="D6" s="35" t="s">
        <v>70</v>
      </c>
      <c r="E6" s="3"/>
      <c r="F6" s="44"/>
    </row>
    <row r="7" spans="1:6" ht="19" x14ac:dyDescent="0.2">
      <c r="A7" s="2" t="s">
        <v>10</v>
      </c>
      <c r="B7" s="11" t="s">
        <v>56</v>
      </c>
      <c r="C7" s="33" t="s">
        <v>70</v>
      </c>
      <c r="D7" s="35" t="s">
        <v>70</v>
      </c>
      <c r="E7" s="3"/>
      <c r="F7" s="44"/>
    </row>
    <row r="8" spans="1:6" ht="20.25" customHeight="1" x14ac:dyDescent="0.2">
      <c r="A8" s="2" t="s">
        <v>11</v>
      </c>
      <c r="B8" s="11" t="s">
        <v>56</v>
      </c>
      <c r="C8" s="33" t="s">
        <v>70</v>
      </c>
      <c r="D8" s="35" t="s">
        <v>70</v>
      </c>
      <c r="E8" s="12"/>
      <c r="F8" s="44"/>
    </row>
    <row r="9" spans="1:6" ht="32.25" customHeight="1" x14ac:dyDescent="0.2">
      <c r="A9" s="2" t="s">
        <v>12</v>
      </c>
      <c r="B9" s="11" t="s">
        <v>56</v>
      </c>
      <c r="C9" s="33" t="s">
        <v>70</v>
      </c>
      <c r="D9" s="35" t="s">
        <v>70</v>
      </c>
      <c r="E9" s="49"/>
      <c r="F9" s="44"/>
    </row>
    <row r="10" spans="1:6" ht="19" x14ac:dyDescent="0.2">
      <c r="A10" s="2" t="s">
        <v>13</v>
      </c>
      <c r="B10" s="11" t="s">
        <v>56</v>
      </c>
      <c r="C10" s="33" t="s">
        <v>70</v>
      </c>
      <c r="D10" s="35" t="s">
        <v>70</v>
      </c>
      <c r="E10" s="12"/>
      <c r="F10" s="44"/>
    </row>
    <row r="11" spans="1:6" ht="21.75" customHeight="1" x14ac:dyDescent="0.2">
      <c r="A11" s="2" t="s">
        <v>14</v>
      </c>
      <c r="B11" s="11" t="s">
        <v>56</v>
      </c>
      <c r="C11" s="33" t="s">
        <v>70</v>
      </c>
      <c r="D11" s="35" t="s">
        <v>70</v>
      </c>
      <c r="E11" s="12"/>
      <c r="F11" s="44"/>
    </row>
    <row r="12" spans="1:6" ht="29.25" customHeight="1" x14ac:dyDescent="0.2">
      <c r="A12" s="2" t="s">
        <v>15</v>
      </c>
      <c r="B12" s="11" t="s">
        <v>56</v>
      </c>
      <c r="C12" s="33" t="s">
        <v>70</v>
      </c>
      <c r="D12" s="35" t="s">
        <v>70</v>
      </c>
      <c r="E12" s="12"/>
      <c r="F12" s="44"/>
    </row>
    <row r="13" spans="1:6" ht="19" x14ac:dyDescent="0.2">
      <c r="A13" s="2" t="s">
        <v>16</v>
      </c>
      <c r="B13" s="11" t="s">
        <v>56</v>
      </c>
      <c r="C13" s="33" t="s">
        <v>70</v>
      </c>
      <c r="D13" s="35" t="s">
        <v>70</v>
      </c>
      <c r="E13" s="12"/>
      <c r="F13" s="44"/>
    </row>
    <row r="14" spans="1:6" ht="19" x14ac:dyDescent="0.2">
      <c r="A14" s="2" t="s">
        <v>17</v>
      </c>
      <c r="B14" s="11" t="s">
        <v>56</v>
      </c>
      <c r="C14" s="33" t="s">
        <v>70</v>
      </c>
      <c r="D14" s="35" t="s">
        <v>70</v>
      </c>
      <c r="E14" s="12"/>
      <c r="F14" s="44"/>
    </row>
    <row r="15" spans="1:6" ht="19" x14ac:dyDescent="0.2">
      <c r="A15" s="2" t="s">
        <v>18</v>
      </c>
      <c r="B15" s="11" t="s">
        <v>56</v>
      </c>
      <c r="C15" s="33" t="s">
        <v>70</v>
      </c>
      <c r="D15" s="35" t="s">
        <v>70</v>
      </c>
      <c r="E15" s="12"/>
      <c r="F15" s="44"/>
    </row>
    <row r="16" spans="1:6" ht="19" x14ac:dyDescent="0.2">
      <c r="A16" s="2" t="s">
        <v>19</v>
      </c>
      <c r="B16" s="11" t="s">
        <v>56</v>
      </c>
      <c r="C16" s="33" t="s">
        <v>70</v>
      </c>
      <c r="D16" s="35" t="s">
        <v>70</v>
      </c>
      <c r="E16" s="12"/>
      <c r="F16" s="44"/>
    </row>
    <row r="17" spans="1:6" ht="19" x14ac:dyDescent="0.2">
      <c r="A17" s="2" t="s">
        <v>20</v>
      </c>
      <c r="B17" s="11" t="s">
        <v>56</v>
      </c>
      <c r="C17" s="36" t="s">
        <v>71</v>
      </c>
      <c r="D17" s="35" t="s">
        <v>125</v>
      </c>
      <c r="E17" s="12"/>
      <c r="F17" s="44"/>
    </row>
    <row r="18" spans="1:6" ht="19" x14ac:dyDescent="0.2">
      <c r="A18" s="2" t="s">
        <v>21</v>
      </c>
      <c r="B18" s="11" t="s">
        <v>56</v>
      </c>
      <c r="C18" s="36" t="s">
        <v>71</v>
      </c>
      <c r="D18" s="35" t="s">
        <v>125</v>
      </c>
      <c r="E18" s="3"/>
      <c r="F18" s="44"/>
    </row>
    <row r="19" spans="1:6" ht="19" x14ac:dyDescent="0.2">
      <c r="A19" s="2" t="s">
        <v>22</v>
      </c>
      <c r="B19" s="11" t="s">
        <v>56</v>
      </c>
      <c r="C19" s="36" t="s">
        <v>71</v>
      </c>
      <c r="D19" s="35" t="s">
        <v>125</v>
      </c>
      <c r="E19" s="3"/>
      <c r="F19" s="44"/>
    </row>
    <row r="20" spans="1:6" ht="19" x14ac:dyDescent="0.2">
      <c r="A20" s="2" t="s">
        <v>23</v>
      </c>
      <c r="B20" s="11" t="s">
        <v>56</v>
      </c>
      <c r="C20" s="36" t="s">
        <v>71</v>
      </c>
      <c r="D20" s="35" t="s">
        <v>125</v>
      </c>
      <c r="E20" s="12"/>
      <c r="F20" s="44"/>
    </row>
    <row r="21" spans="1:6" ht="19" x14ac:dyDescent="0.2">
      <c r="A21" s="2" t="s">
        <v>24</v>
      </c>
      <c r="B21" s="11" t="s">
        <v>56</v>
      </c>
      <c r="C21" s="36" t="s">
        <v>71</v>
      </c>
      <c r="D21" s="35" t="s">
        <v>71</v>
      </c>
      <c r="E21" s="3"/>
      <c r="F21" s="44"/>
    </row>
    <row r="22" spans="1:6" ht="19" x14ac:dyDescent="0.2">
      <c r="A22" s="2" t="s">
        <v>25</v>
      </c>
      <c r="B22" s="11" t="s">
        <v>56</v>
      </c>
      <c r="C22" s="36" t="s">
        <v>71</v>
      </c>
      <c r="D22" s="35" t="s">
        <v>71</v>
      </c>
      <c r="E22" s="12"/>
      <c r="F22" s="44"/>
    </row>
    <row r="23" spans="1:6" ht="19" x14ac:dyDescent="0.2">
      <c r="A23" s="2" t="s">
        <v>26</v>
      </c>
      <c r="B23" s="11" t="s">
        <v>56</v>
      </c>
      <c r="C23" s="36" t="s">
        <v>71</v>
      </c>
      <c r="D23" s="35" t="s">
        <v>71</v>
      </c>
      <c r="E23" s="17"/>
      <c r="F23" s="44"/>
    </row>
    <row r="24" spans="1:6" ht="15" customHeight="1" x14ac:dyDescent="0.2">
      <c r="A24" s="2" t="s">
        <v>27</v>
      </c>
      <c r="B24" s="11" t="s">
        <v>56</v>
      </c>
      <c r="C24" s="36" t="s">
        <v>71</v>
      </c>
      <c r="D24" s="35" t="s">
        <v>71</v>
      </c>
      <c r="E24" s="3"/>
      <c r="F24" s="44"/>
    </row>
    <row r="25" spans="1:6" ht="15" customHeight="1" x14ac:dyDescent="0.2">
      <c r="A25" s="2" t="s">
        <v>28</v>
      </c>
      <c r="B25" s="11" t="s">
        <v>56</v>
      </c>
      <c r="C25" s="36" t="s">
        <v>71</v>
      </c>
      <c r="D25" s="35" t="s">
        <v>71</v>
      </c>
      <c r="E25" s="3"/>
      <c r="F25" s="44"/>
    </row>
    <row r="26" spans="1:6" ht="15" customHeight="1" x14ac:dyDescent="0.2">
      <c r="A26" s="2" t="s">
        <v>29</v>
      </c>
      <c r="B26" s="11" t="s">
        <v>56</v>
      </c>
      <c r="C26" s="36" t="s">
        <v>71</v>
      </c>
      <c r="D26" s="35" t="s">
        <v>71</v>
      </c>
      <c r="E26" s="3"/>
      <c r="F26" s="44"/>
    </row>
    <row r="27" spans="1:6" ht="15" customHeight="1" x14ac:dyDescent="0.2">
      <c r="A27" s="2" t="s">
        <v>30</v>
      </c>
      <c r="B27" s="11" t="s">
        <v>56</v>
      </c>
      <c r="C27" s="36" t="s">
        <v>71</v>
      </c>
      <c r="D27" s="35" t="s">
        <v>71</v>
      </c>
      <c r="E27" s="3"/>
      <c r="F27" s="44"/>
    </row>
    <row r="28" spans="1:6" ht="15" customHeight="1" x14ac:dyDescent="0.2">
      <c r="A28" s="2" t="s">
        <v>31</v>
      </c>
      <c r="B28" s="11" t="s">
        <v>56</v>
      </c>
      <c r="C28" s="36" t="s">
        <v>71</v>
      </c>
      <c r="D28" s="35" t="s">
        <v>71</v>
      </c>
      <c r="E28" s="12"/>
      <c r="F28" s="44"/>
    </row>
    <row r="29" spans="1:6" ht="30" customHeight="1" x14ac:dyDescent="0.2">
      <c r="A29" s="2" t="s">
        <v>32</v>
      </c>
      <c r="B29" s="11" t="s">
        <v>56</v>
      </c>
      <c r="C29" s="47" t="s">
        <v>71</v>
      </c>
      <c r="D29" s="33" t="s">
        <v>71</v>
      </c>
      <c r="E29" s="12"/>
      <c r="F29" s="44"/>
    </row>
    <row r="30" spans="1:6" ht="15" customHeight="1" x14ac:dyDescent="0.2">
      <c r="A30" s="2" t="s">
        <v>33</v>
      </c>
      <c r="B30" s="11" t="s">
        <v>74</v>
      </c>
      <c r="C30" s="3" t="s">
        <v>72</v>
      </c>
      <c r="D30" s="35" t="s">
        <v>128</v>
      </c>
      <c r="E30" s="17"/>
      <c r="F30" s="44"/>
    </row>
    <row r="31" spans="1:6" ht="15" customHeight="1" x14ac:dyDescent="0.2">
      <c r="A31" s="2" t="s">
        <v>34</v>
      </c>
      <c r="B31" s="11" t="s">
        <v>74</v>
      </c>
      <c r="C31" s="3" t="s">
        <v>72</v>
      </c>
      <c r="D31" s="35" t="s">
        <v>128</v>
      </c>
      <c r="E31" s="17"/>
      <c r="F31" s="44"/>
    </row>
    <row r="32" spans="1:6" ht="15" customHeight="1" x14ac:dyDescent="0.2">
      <c r="A32" s="2" t="s">
        <v>35</v>
      </c>
      <c r="B32" s="11" t="s">
        <v>74</v>
      </c>
      <c r="C32" s="3" t="s">
        <v>72</v>
      </c>
      <c r="D32" s="35" t="s">
        <v>128</v>
      </c>
      <c r="E32" s="3"/>
      <c r="F32" s="44"/>
    </row>
    <row r="33" spans="1:6" ht="30" customHeight="1" x14ac:dyDescent="0.2">
      <c r="A33" s="2" t="s">
        <v>36</v>
      </c>
      <c r="B33" s="11" t="s">
        <v>74</v>
      </c>
      <c r="C33" s="3" t="s">
        <v>72</v>
      </c>
      <c r="D33" s="35" t="s">
        <v>128</v>
      </c>
      <c r="E33" s="49"/>
      <c r="F33" s="44"/>
    </row>
    <row r="34" spans="1:6" ht="15" customHeight="1" x14ac:dyDescent="0.2">
      <c r="A34" s="2" t="s">
        <v>37</v>
      </c>
      <c r="B34" s="11" t="s">
        <v>74</v>
      </c>
      <c r="C34" s="3" t="s">
        <v>72</v>
      </c>
      <c r="D34" s="35" t="s">
        <v>128</v>
      </c>
      <c r="E34" s="12"/>
      <c r="F34" s="44"/>
    </row>
    <row r="35" spans="1:6" ht="15" customHeight="1" x14ac:dyDescent="0.2">
      <c r="A35" s="2" t="s">
        <v>38</v>
      </c>
      <c r="B35" s="11" t="s">
        <v>74</v>
      </c>
      <c r="C35" s="3" t="s">
        <v>72</v>
      </c>
      <c r="D35" s="35" t="s">
        <v>128</v>
      </c>
      <c r="E35" s="17"/>
      <c r="F35" s="44"/>
    </row>
    <row r="36" spans="1:6" ht="15" customHeight="1" x14ac:dyDescent="0.2">
      <c r="A36" s="2" t="s">
        <v>39</v>
      </c>
      <c r="B36" s="11" t="s">
        <v>74</v>
      </c>
      <c r="C36" s="3" t="s">
        <v>72</v>
      </c>
      <c r="D36" s="35" t="s">
        <v>128</v>
      </c>
      <c r="E36" s="17"/>
      <c r="F36" s="44"/>
    </row>
    <row r="37" spans="1:6" ht="15" customHeight="1" x14ac:dyDescent="0.2">
      <c r="A37" s="2" t="s">
        <v>40</v>
      </c>
      <c r="B37" s="11" t="s">
        <v>74</v>
      </c>
      <c r="C37" s="3" t="s">
        <v>72</v>
      </c>
      <c r="D37" s="3" t="s">
        <v>128</v>
      </c>
      <c r="E37" s="17"/>
      <c r="F37" s="44"/>
    </row>
    <row r="38" spans="1:6" ht="18.75" customHeight="1" x14ac:dyDescent="0.2">
      <c r="A38" s="86" t="s">
        <v>41</v>
      </c>
      <c r="B38" s="11" t="s">
        <v>76</v>
      </c>
      <c r="C38" s="3" t="s">
        <v>66</v>
      </c>
      <c r="D38" s="3" t="s">
        <v>126</v>
      </c>
      <c r="E38" s="90"/>
      <c r="F38" s="85"/>
    </row>
    <row r="39" spans="1:6" ht="18.75" customHeight="1" x14ac:dyDescent="0.2">
      <c r="A39" s="87"/>
      <c r="B39" s="11" t="s">
        <v>76</v>
      </c>
      <c r="C39" s="3" t="s">
        <v>66</v>
      </c>
      <c r="D39" s="3" t="s">
        <v>127</v>
      </c>
      <c r="E39" s="91"/>
      <c r="F39" s="85"/>
    </row>
    <row r="40" spans="1:6" ht="18.75" customHeight="1" x14ac:dyDescent="0.2">
      <c r="A40" s="86" t="s">
        <v>42</v>
      </c>
      <c r="B40" s="11" t="s">
        <v>76</v>
      </c>
      <c r="C40" s="3" t="s">
        <v>66</v>
      </c>
      <c r="D40" s="3" t="s">
        <v>126</v>
      </c>
      <c r="E40" s="88"/>
      <c r="F40" s="83"/>
    </row>
    <row r="41" spans="1:6" ht="18.75" customHeight="1" x14ac:dyDescent="0.2">
      <c r="A41" s="87"/>
      <c r="B41" s="11" t="s">
        <v>76</v>
      </c>
      <c r="C41" s="3" t="s">
        <v>66</v>
      </c>
      <c r="D41" s="3" t="s">
        <v>127</v>
      </c>
      <c r="E41" s="89"/>
      <c r="F41" s="84"/>
    </row>
    <row r="42" spans="1:6" ht="18.75" customHeight="1" x14ac:dyDescent="0.2">
      <c r="A42" s="86" t="s">
        <v>43</v>
      </c>
      <c r="B42" s="11" t="s">
        <v>76</v>
      </c>
      <c r="C42" s="3" t="s">
        <v>66</v>
      </c>
      <c r="D42" s="3" t="s">
        <v>126</v>
      </c>
      <c r="E42" s="88"/>
      <c r="F42" s="85"/>
    </row>
    <row r="43" spans="1:6" ht="18.75" customHeight="1" x14ac:dyDescent="0.2">
      <c r="A43" s="87"/>
      <c r="B43" s="11" t="s">
        <v>76</v>
      </c>
      <c r="C43" s="3" t="s">
        <v>66</v>
      </c>
      <c r="D43" s="3" t="s">
        <v>127</v>
      </c>
      <c r="E43" s="89"/>
      <c r="F43" s="85"/>
    </row>
    <row r="44" spans="1:6" ht="18.75" customHeight="1" x14ac:dyDescent="0.2">
      <c r="A44" s="86" t="s">
        <v>44</v>
      </c>
      <c r="B44" s="11" t="s">
        <v>76</v>
      </c>
      <c r="C44" s="3" t="s">
        <v>66</v>
      </c>
      <c r="D44" s="3" t="s">
        <v>126</v>
      </c>
      <c r="E44" s="88"/>
      <c r="F44" s="83"/>
    </row>
    <row r="45" spans="1:6" ht="10.5" customHeight="1" x14ac:dyDescent="0.2">
      <c r="A45" s="87"/>
      <c r="B45" s="11" t="s">
        <v>76</v>
      </c>
      <c r="C45" s="3" t="s">
        <v>66</v>
      </c>
      <c r="D45" s="3" t="s">
        <v>127</v>
      </c>
      <c r="E45" s="89"/>
      <c r="F45" s="84"/>
    </row>
    <row r="46" spans="1:6" ht="18.75" customHeight="1" x14ac:dyDescent="0.2">
      <c r="A46" s="86" t="s">
        <v>45</v>
      </c>
      <c r="B46" s="11" t="s">
        <v>76</v>
      </c>
      <c r="C46" s="3" t="s">
        <v>66</v>
      </c>
      <c r="D46" s="3" t="s">
        <v>126</v>
      </c>
      <c r="E46" s="90"/>
      <c r="F46" s="85"/>
    </row>
    <row r="47" spans="1:6" ht="10.5" customHeight="1" x14ac:dyDescent="0.2">
      <c r="A47" s="87"/>
      <c r="B47" s="11" t="s">
        <v>76</v>
      </c>
      <c r="C47" s="3" t="s">
        <v>66</v>
      </c>
      <c r="D47" s="3" t="s">
        <v>127</v>
      </c>
      <c r="E47" s="91"/>
      <c r="F47" s="85"/>
    </row>
    <row r="48" spans="1:6" ht="18.75" customHeight="1" x14ac:dyDescent="0.2">
      <c r="A48" s="86" t="s">
        <v>46</v>
      </c>
      <c r="B48" s="11" t="s">
        <v>76</v>
      </c>
      <c r="C48" s="3" t="s">
        <v>66</v>
      </c>
      <c r="D48" s="3" t="s">
        <v>126</v>
      </c>
      <c r="E48" s="92"/>
      <c r="F48" s="83"/>
    </row>
    <row r="49" spans="1:6" ht="10.5" customHeight="1" x14ac:dyDescent="0.2">
      <c r="A49" s="87"/>
      <c r="B49" s="11" t="s">
        <v>76</v>
      </c>
      <c r="C49" s="3" t="s">
        <v>66</v>
      </c>
      <c r="D49" s="3" t="s">
        <v>127</v>
      </c>
      <c r="E49" s="93"/>
      <c r="F49" s="84"/>
    </row>
    <row r="50" spans="1:6" ht="19" x14ac:dyDescent="0.2">
      <c r="A50" s="53" t="s">
        <v>47</v>
      </c>
      <c r="B50" s="11" t="s">
        <v>75</v>
      </c>
      <c r="C50" s="3" t="s">
        <v>64</v>
      </c>
      <c r="D50" s="3" t="s">
        <v>130</v>
      </c>
      <c r="E50" s="12"/>
      <c r="F50" s="44"/>
    </row>
    <row r="51" spans="1:6" ht="19" x14ac:dyDescent="0.2">
      <c r="A51" s="53" t="s">
        <v>48</v>
      </c>
      <c r="B51" s="11" t="s">
        <v>75</v>
      </c>
      <c r="C51" s="3" t="s">
        <v>64</v>
      </c>
      <c r="D51" s="3" t="s">
        <v>130</v>
      </c>
      <c r="E51" s="12"/>
      <c r="F51" s="44"/>
    </row>
    <row r="52" spans="1:6" ht="19" x14ac:dyDescent="0.2">
      <c r="A52" s="53" t="s">
        <v>49</v>
      </c>
      <c r="B52" s="11" t="s">
        <v>75</v>
      </c>
      <c r="C52" s="3" t="s">
        <v>64</v>
      </c>
      <c r="D52" s="3" t="s">
        <v>130</v>
      </c>
      <c r="E52" s="12"/>
      <c r="F52" s="44"/>
    </row>
    <row r="53" spans="1:6" ht="19" x14ac:dyDescent="0.2">
      <c r="A53" s="53" t="s">
        <v>50</v>
      </c>
      <c r="B53" s="11" t="s">
        <v>75</v>
      </c>
      <c r="C53" s="3" t="s">
        <v>64</v>
      </c>
      <c r="D53" s="3" t="s">
        <v>130</v>
      </c>
      <c r="E53" s="12"/>
      <c r="F53" s="44"/>
    </row>
    <row r="54" spans="1:6" ht="19" x14ac:dyDescent="0.2">
      <c r="A54" s="53" t="s">
        <v>51</v>
      </c>
      <c r="B54" s="11" t="s">
        <v>75</v>
      </c>
      <c r="C54" s="3" t="s">
        <v>64</v>
      </c>
      <c r="D54" s="3" t="s">
        <v>130</v>
      </c>
      <c r="E54" s="12"/>
      <c r="F54" s="44"/>
    </row>
    <row r="55" spans="1:6" ht="19" x14ac:dyDescent="0.2">
      <c r="A55" s="53" t="s">
        <v>99</v>
      </c>
      <c r="B55" s="11" t="s">
        <v>75</v>
      </c>
      <c r="C55" s="3" t="s">
        <v>64</v>
      </c>
      <c r="D55" s="3" t="s">
        <v>130</v>
      </c>
      <c r="E55" s="12"/>
      <c r="F55" s="44"/>
    </row>
    <row r="56" spans="1:6" ht="19" x14ac:dyDescent="0.2">
      <c r="A56" s="53" t="s">
        <v>135</v>
      </c>
      <c r="B56" s="11" t="s">
        <v>75</v>
      </c>
      <c r="C56" s="3" t="s">
        <v>64</v>
      </c>
      <c r="D56" s="3" t="s">
        <v>130</v>
      </c>
      <c r="E56" s="12"/>
      <c r="F56" s="44"/>
    </row>
    <row r="57" spans="1:6" ht="19" x14ac:dyDescent="0.2">
      <c r="A57" s="53" t="s">
        <v>136</v>
      </c>
      <c r="B57" s="11" t="s">
        <v>75</v>
      </c>
      <c r="C57" s="3" t="s">
        <v>64</v>
      </c>
      <c r="D57" s="3" t="s">
        <v>130</v>
      </c>
      <c r="E57" s="12"/>
      <c r="F57" s="44"/>
    </row>
    <row r="58" spans="1:6" ht="19" x14ac:dyDescent="0.2">
      <c r="A58" s="53" t="s">
        <v>137</v>
      </c>
      <c r="B58" s="11" t="s">
        <v>75</v>
      </c>
      <c r="C58" s="3" t="s">
        <v>64</v>
      </c>
      <c r="D58" s="3" t="s">
        <v>130</v>
      </c>
      <c r="E58" s="12"/>
      <c r="F58" s="44"/>
    </row>
    <row r="59" spans="1:6" ht="19" x14ac:dyDescent="0.2">
      <c r="A59" s="53" t="s">
        <v>138</v>
      </c>
      <c r="B59" s="11" t="s">
        <v>75</v>
      </c>
      <c r="C59" s="3" t="s">
        <v>64</v>
      </c>
      <c r="D59" s="3" t="s">
        <v>130</v>
      </c>
      <c r="E59" s="12"/>
      <c r="F59" s="44"/>
    </row>
    <row r="60" spans="1:6" ht="19" x14ac:dyDescent="0.2">
      <c r="A60" s="53" t="s">
        <v>140</v>
      </c>
      <c r="B60" s="11" t="s">
        <v>75</v>
      </c>
      <c r="C60" s="3" t="s">
        <v>64</v>
      </c>
      <c r="D60" s="3" t="s">
        <v>130</v>
      </c>
      <c r="E60" s="12"/>
      <c r="F60" s="44"/>
    </row>
    <row r="61" spans="1:6" ht="19" x14ac:dyDescent="0.2">
      <c r="A61" s="53" t="s">
        <v>141</v>
      </c>
      <c r="B61" s="11" t="s">
        <v>75</v>
      </c>
      <c r="C61" s="3" t="s">
        <v>64</v>
      </c>
      <c r="D61" s="3" t="s">
        <v>132</v>
      </c>
      <c r="E61" s="17"/>
      <c r="F61" s="44"/>
    </row>
    <row r="62" spans="1:6" ht="19" x14ac:dyDescent="0.2">
      <c r="A62" s="53" t="s">
        <v>142</v>
      </c>
      <c r="B62" s="11" t="s">
        <v>75</v>
      </c>
      <c r="C62" s="3" t="s">
        <v>64</v>
      </c>
      <c r="D62" s="3" t="s">
        <v>132</v>
      </c>
      <c r="E62" s="12"/>
      <c r="F62" s="44"/>
    </row>
    <row r="63" spans="1:6" ht="19" x14ac:dyDescent="0.2">
      <c r="A63" s="53" t="s">
        <v>143</v>
      </c>
      <c r="B63" s="11" t="s">
        <v>75</v>
      </c>
      <c r="C63" s="3" t="s">
        <v>64</v>
      </c>
      <c r="D63" s="3" t="s">
        <v>132</v>
      </c>
      <c r="E63" s="12"/>
      <c r="F63" s="44"/>
    </row>
    <row r="64" spans="1:6" ht="19" x14ac:dyDescent="0.2">
      <c r="A64" s="53" t="s">
        <v>144</v>
      </c>
      <c r="B64" s="11" t="s">
        <v>75</v>
      </c>
      <c r="C64" s="3" t="s">
        <v>64</v>
      </c>
      <c r="D64" s="3" t="s">
        <v>132</v>
      </c>
      <c r="E64" s="3"/>
      <c r="F64" s="44"/>
    </row>
    <row r="65" spans="1:6" ht="19" x14ac:dyDescent="0.2">
      <c r="A65" s="53" t="s">
        <v>145</v>
      </c>
      <c r="B65" s="11" t="s">
        <v>75</v>
      </c>
      <c r="C65" s="3" t="s">
        <v>64</v>
      </c>
      <c r="D65" s="3" t="s">
        <v>132</v>
      </c>
      <c r="E65" s="12"/>
      <c r="F65" s="44"/>
    </row>
    <row r="66" spans="1:6" ht="19" x14ac:dyDescent="0.2">
      <c r="A66" s="53" t="s">
        <v>146</v>
      </c>
      <c r="B66" s="11" t="s">
        <v>75</v>
      </c>
      <c r="C66" s="3" t="s">
        <v>64</v>
      </c>
      <c r="D66" s="3" t="s">
        <v>132</v>
      </c>
      <c r="E66" s="3"/>
      <c r="F66" s="44"/>
    </row>
    <row r="67" spans="1:6" ht="19" x14ac:dyDescent="0.2">
      <c r="A67" s="53" t="s">
        <v>147</v>
      </c>
      <c r="B67" s="11" t="s">
        <v>75</v>
      </c>
      <c r="C67" s="3" t="s">
        <v>64</v>
      </c>
      <c r="D67" s="3" t="s">
        <v>132</v>
      </c>
      <c r="E67" s="12"/>
      <c r="F67" s="44"/>
    </row>
    <row r="68" spans="1:6" ht="19" x14ac:dyDescent="0.2">
      <c r="A68" s="53" t="s">
        <v>148</v>
      </c>
      <c r="B68" s="11" t="s">
        <v>75</v>
      </c>
      <c r="C68" s="3" t="s">
        <v>64</v>
      </c>
      <c r="D68" s="3" t="s">
        <v>132</v>
      </c>
      <c r="E68" s="49"/>
      <c r="F68" s="44"/>
    </row>
    <row r="69" spans="1:6" ht="19" x14ac:dyDescent="0.2">
      <c r="A69" s="53" t="s">
        <v>149</v>
      </c>
      <c r="B69" s="11" t="s">
        <v>75</v>
      </c>
      <c r="C69" s="3" t="s">
        <v>64</v>
      </c>
      <c r="D69" s="3" t="s">
        <v>132</v>
      </c>
      <c r="E69" s="3"/>
      <c r="F69" s="44"/>
    </row>
    <row r="70" spans="1:6" ht="19" x14ac:dyDescent="0.2">
      <c r="A70" s="53" t="s">
        <v>150</v>
      </c>
      <c r="B70" s="11" t="s">
        <v>75</v>
      </c>
      <c r="C70" s="3" t="s">
        <v>64</v>
      </c>
      <c r="D70" s="3" t="s">
        <v>132</v>
      </c>
      <c r="E70" s="3"/>
      <c r="F70" s="44"/>
    </row>
    <row r="71" spans="1:6" ht="19" x14ac:dyDescent="0.2">
      <c r="A71" s="53" t="s">
        <v>151</v>
      </c>
      <c r="B71" s="11" t="s">
        <v>75</v>
      </c>
      <c r="C71" s="3" t="s">
        <v>64</v>
      </c>
      <c r="D71" s="3" t="s">
        <v>65</v>
      </c>
      <c r="E71" s="3"/>
      <c r="F71" s="44"/>
    </row>
    <row r="72" spans="1:6" ht="19" x14ac:dyDescent="0.2">
      <c r="A72" s="53" t="s">
        <v>152</v>
      </c>
      <c r="B72" s="11" t="s">
        <v>75</v>
      </c>
      <c r="C72" s="3" t="s">
        <v>64</v>
      </c>
      <c r="D72" s="3" t="s">
        <v>65</v>
      </c>
      <c r="E72" s="17"/>
      <c r="F72" s="44"/>
    </row>
    <row r="73" spans="1:6" ht="19" x14ac:dyDescent="0.2">
      <c r="A73" s="53" t="s">
        <v>153</v>
      </c>
      <c r="B73" s="11" t="s">
        <v>75</v>
      </c>
      <c r="C73" s="3" t="s">
        <v>64</v>
      </c>
      <c r="D73" s="3" t="s">
        <v>65</v>
      </c>
      <c r="E73" s="17"/>
      <c r="F73" s="44"/>
    </row>
    <row r="74" spans="1:6" ht="19" x14ac:dyDescent="0.2">
      <c r="A74" s="53" t="s">
        <v>154</v>
      </c>
      <c r="B74" s="11" t="s">
        <v>75</v>
      </c>
      <c r="C74" s="3" t="s">
        <v>64</v>
      </c>
      <c r="D74" s="3" t="s">
        <v>65</v>
      </c>
      <c r="E74" s="3"/>
      <c r="F74" s="44"/>
    </row>
    <row r="75" spans="1:6" ht="19" x14ac:dyDescent="0.2">
      <c r="A75" s="53" t="s">
        <v>155</v>
      </c>
      <c r="B75" s="11" t="s">
        <v>75</v>
      </c>
      <c r="C75" s="3" t="s">
        <v>64</v>
      </c>
      <c r="D75" s="3" t="s">
        <v>65</v>
      </c>
      <c r="E75" s="17"/>
      <c r="F75" s="44"/>
    </row>
    <row r="76" spans="1:6" ht="19" x14ac:dyDescent="0.2">
      <c r="A76" s="53" t="s">
        <v>156</v>
      </c>
      <c r="B76" s="11" t="s">
        <v>75</v>
      </c>
      <c r="C76" s="3" t="s">
        <v>64</v>
      </c>
      <c r="D76" s="3" t="s">
        <v>65</v>
      </c>
      <c r="E76" s="3"/>
      <c r="F76" s="44"/>
    </row>
    <row r="77" spans="1:6" ht="19" x14ac:dyDescent="0.2">
      <c r="A77" s="53" t="s">
        <v>157</v>
      </c>
      <c r="B77" s="11" t="s">
        <v>75</v>
      </c>
      <c r="C77" s="3" t="s">
        <v>64</v>
      </c>
      <c r="D77" s="3" t="s">
        <v>65</v>
      </c>
      <c r="E77" s="17"/>
      <c r="F77" s="44"/>
    </row>
    <row r="78" spans="1:6" ht="19" x14ac:dyDescent="0.2">
      <c r="A78" s="53" t="s">
        <v>158</v>
      </c>
      <c r="B78" s="11" t="s">
        <v>75</v>
      </c>
      <c r="C78" s="3" t="s">
        <v>64</v>
      </c>
      <c r="D78" s="3" t="s">
        <v>65</v>
      </c>
      <c r="E78" s="49"/>
      <c r="F78" s="44"/>
    </row>
    <row r="79" spans="1:6" ht="19" x14ac:dyDescent="0.2">
      <c r="A79" s="53" t="s">
        <v>159</v>
      </c>
      <c r="B79" s="11" t="s">
        <v>75</v>
      </c>
      <c r="C79" s="3" t="s">
        <v>64</v>
      </c>
      <c r="D79" s="3" t="s">
        <v>65</v>
      </c>
      <c r="E79" s="49"/>
      <c r="F79" s="44"/>
    </row>
    <row r="80" spans="1:6" ht="19" x14ac:dyDescent="0.2">
      <c r="A80" s="53" t="s">
        <v>160</v>
      </c>
      <c r="B80" s="11" t="s">
        <v>75</v>
      </c>
      <c r="C80" s="3" t="s">
        <v>64</v>
      </c>
      <c r="D80" s="3" t="s">
        <v>65</v>
      </c>
      <c r="E80" s="49"/>
      <c r="F80" s="44"/>
    </row>
    <row r="81" spans="1:6" ht="19" x14ac:dyDescent="0.2">
      <c r="A81" s="53" t="s">
        <v>161</v>
      </c>
      <c r="B81" s="11" t="s">
        <v>75</v>
      </c>
      <c r="C81" s="3" t="s">
        <v>64</v>
      </c>
      <c r="D81" s="3" t="s">
        <v>65</v>
      </c>
      <c r="E81" s="49"/>
      <c r="F81" s="44"/>
    </row>
    <row r="82" spans="1:6" ht="19" x14ac:dyDescent="0.2">
      <c r="A82" s="53" t="s">
        <v>162</v>
      </c>
      <c r="B82" s="11" t="s">
        <v>75</v>
      </c>
      <c r="C82" s="3" t="s">
        <v>64</v>
      </c>
      <c r="D82" s="3" t="s">
        <v>131</v>
      </c>
      <c r="E82" s="17"/>
      <c r="F82" s="44"/>
    </row>
    <row r="83" spans="1:6" ht="19" x14ac:dyDescent="0.2">
      <c r="A83" s="53" t="s">
        <v>163</v>
      </c>
      <c r="B83" s="11" t="s">
        <v>75</v>
      </c>
      <c r="C83" s="3" t="s">
        <v>64</v>
      </c>
      <c r="D83" s="3" t="s">
        <v>131</v>
      </c>
      <c r="E83" s="3"/>
      <c r="F83" s="44"/>
    </row>
    <row r="84" spans="1:6" ht="19" x14ac:dyDescent="0.2">
      <c r="A84" s="53" t="s">
        <v>164</v>
      </c>
      <c r="B84" s="11" t="s">
        <v>55</v>
      </c>
      <c r="C84" s="3" t="s">
        <v>68</v>
      </c>
      <c r="D84" s="3" t="s">
        <v>121</v>
      </c>
      <c r="E84" s="3"/>
      <c r="F84" s="44"/>
    </row>
    <row r="85" spans="1:6" ht="19" x14ac:dyDescent="0.2">
      <c r="A85" s="53" t="s">
        <v>165</v>
      </c>
      <c r="B85" s="11" t="s">
        <v>55</v>
      </c>
      <c r="C85" s="3" t="s">
        <v>68</v>
      </c>
      <c r="D85" s="3" t="s">
        <v>121</v>
      </c>
      <c r="E85" s="12"/>
      <c r="F85" s="44"/>
    </row>
    <row r="86" spans="1:6" ht="19" x14ac:dyDescent="0.2">
      <c r="A86" s="53" t="s">
        <v>166</v>
      </c>
      <c r="B86" s="11" t="s">
        <v>55</v>
      </c>
      <c r="C86" s="3" t="s">
        <v>68</v>
      </c>
      <c r="D86" s="3" t="s">
        <v>121</v>
      </c>
      <c r="E86" s="3"/>
      <c r="F86" s="44"/>
    </row>
    <row r="87" spans="1:6" ht="19" x14ac:dyDescent="0.2">
      <c r="A87" s="53" t="s">
        <v>188</v>
      </c>
      <c r="B87" s="11" t="s">
        <v>55</v>
      </c>
      <c r="C87" s="3" t="s">
        <v>68</v>
      </c>
      <c r="D87" s="3" t="s">
        <v>121</v>
      </c>
      <c r="E87" s="3"/>
      <c r="F87" s="44"/>
    </row>
    <row r="88" spans="1:6" ht="19" x14ac:dyDescent="0.2">
      <c r="A88" s="53" t="s">
        <v>189</v>
      </c>
      <c r="B88" s="11" t="s">
        <v>55</v>
      </c>
      <c r="C88" s="3" t="s">
        <v>68</v>
      </c>
      <c r="D88" s="3" t="s">
        <v>121</v>
      </c>
      <c r="E88" s="3"/>
      <c r="F88" s="44"/>
    </row>
    <row r="89" spans="1:6" ht="19" x14ac:dyDescent="0.2">
      <c r="A89" s="53" t="s">
        <v>190</v>
      </c>
      <c r="B89" s="11" t="s">
        <v>55</v>
      </c>
      <c r="C89" s="3" t="s">
        <v>68</v>
      </c>
      <c r="D89" s="3" t="s">
        <v>121</v>
      </c>
      <c r="E89" s="3"/>
      <c r="F89" s="44"/>
    </row>
    <row r="90" spans="1:6" ht="19" x14ac:dyDescent="0.2">
      <c r="A90" s="53" t="s">
        <v>191</v>
      </c>
      <c r="B90" s="11" t="s">
        <v>55</v>
      </c>
      <c r="C90" s="3" t="s">
        <v>68</v>
      </c>
      <c r="D90" s="3" t="s">
        <v>121</v>
      </c>
      <c r="E90" s="12"/>
      <c r="F90" s="44"/>
    </row>
    <row r="91" spans="1:6" ht="19" x14ac:dyDescent="0.2">
      <c r="A91" s="53" t="s">
        <v>192</v>
      </c>
      <c r="B91" s="11" t="s">
        <v>55</v>
      </c>
      <c r="C91" s="3" t="s">
        <v>68</v>
      </c>
      <c r="D91" s="3" t="s">
        <v>121</v>
      </c>
      <c r="E91" s="12"/>
      <c r="F91" s="44"/>
    </row>
    <row r="92" spans="1:6" ht="19" x14ac:dyDescent="0.2">
      <c r="A92" s="53" t="s">
        <v>193</v>
      </c>
      <c r="B92" s="11" t="s">
        <v>55</v>
      </c>
      <c r="C92" s="3" t="s">
        <v>68</v>
      </c>
      <c r="D92" s="3" t="s">
        <v>121</v>
      </c>
      <c r="E92" s="12"/>
      <c r="F92" s="44"/>
    </row>
    <row r="93" spans="1:6" ht="19" x14ac:dyDescent="0.2">
      <c r="A93" s="53" t="s">
        <v>194</v>
      </c>
      <c r="B93" s="11" t="s">
        <v>55</v>
      </c>
      <c r="C93" s="3" t="s">
        <v>68</v>
      </c>
      <c r="D93" s="3" t="s">
        <v>121</v>
      </c>
      <c r="E93" s="3"/>
      <c r="F93" s="44"/>
    </row>
    <row r="94" spans="1:6" ht="19" x14ac:dyDescent="0.2">
      <c r="A94" s="53" t="s">
        <v>195</v>
      </c>
      <c r="B94" s="11" t="s">
        <v>55</v>
      </c>
      <c r="C94" s="3" t="s">
        <v>68</v>
      </c>
      <c r="D94" s="3" t="s">
        <v>121</v>
      </c>
      <c r="E94" s="3"/>
      <c r="F94" s="44"/>
    </row>
    <row r="95" spans="1:6" ht="19" x14ac:dyDescent="0.2">
      <c r="A95" s="53" t="s">
        <v>196</v>
      </c>
      <c r="B95" s="11" t="s">
        <v>55</v>
      </c>
      <c r="C95" s="3" t="s">
        <v>68</v>
      </c>
      <c r="D95" s="3" t="s">
        <v>122</v>
      </c>
      <c r="E95" s="9"/>
      <c r="F95" s="44"/>
    </row>
    <row r="96" spans="1:6" ht="19" x14ac:dyDescent="0.2">
      <c r="A96" s="53" t="s">
        <v>197</v>
      </c>
      <c r="B96" s="11" t="s">
        <v>55</v>
      </c>
      <c r="C96" s="3" t="s">
        <v>68</v>
      </c>
      <c r="D96" s="3" t="s">
        <v>122</v>
      </c>
      <c r="E96" s="3"/>
      <c r="F96" s="44"/>
    </row>
    <row r="97" spans="1:6" ht="19" x14ac:dyDescent="0.2">
      <c r="A97" s="53" t="s">
        <v>198</v>
      </c>
      <c r="B97" s="11" t="s">
        <v>55</v>
      </c>
      <c r="C97" s="3" t="s">
        <v>68</v>
      </c>
      <c r="D97" s="3" t="s">
        <v>122</v>
      </c>
      <c r="E97" s="14"/>
      <c r="F97" s="44"/>
    </row>
    <row r="98" spans="1:6" ht="19" x14ac:dyDescent="0.2">
      <c r="A98" s="53" t="s">
        <v>199</v>
      </c>
      <c r="B98" s="11" t="s">
        <v>55</v>
      </c>
      <c r="C98" s="3" t="s">
        <v>68</v>
      </c>
      <c r="D98" s="3" t="s">
        <v>122</v>
      </c>
      <c r="E98" s="14"/>
      <c r="F98" s="44"/>
    </row>
    <row r="99" spans="1:6" ht="19" x14ac:dyDescent="0.2">
      <c r="A99" s="53" t="s">
        <v>200</v>
      </c>
      <c r="B99" s="11" t="s">
        <v>55</v>
      </c>
      <c r="C99" s="3" t="s">
        <v>68</v>
      </c>
      <c r="D99" s="3" t="s">
        <v>122</v>
      </c>
      <c r="E99" s="14"/>
      <c r="F99" s="44"/>
    </row>
    <row r="100" spans="1:6" ht="19" x14ac:dyDescent="0.2">
      <c r="A100" s="53" t="s">
        <v>201</v>
      </c>
      <c r="B100" s="11" t="s">
        <v>55</v>
      </c>
      <c r="C100" s="3" t="s">
        <v>68</v>
      </c>
      <c r="D100" s="3" t="s">
        <v>122</v>
      </c>
      <c r="E100" s="14"/>
      <c r="F100" s="44"/>
    </row>
    <row r="101" spans="1:6" ht="19" x14ac:dyDescent="0.2">
      <c r="A101" s="53" t="s">
        <v>202</v>
      </c>
      <c r="B101" s="11" t="s">
        <v>55</v>
      </c>
      <c r="C101" s="3" t="s">
        <v>68</v>
      </c>
      <c r="D101" s="3" t="s">
        <v>122</v>
      </c>
      <c r="E101" s="14"/>
      <c r="F101" s="44"/>
    </row>
    <row r="102" spans="1:6" ht="19" x14ac:dyDescent="0.2">
      <c r="A102" s="53" t="s">
        <v>203</v>
      </c>
      <c r="B102" s="11" t="s">
        <v>55</v>
      </c>
      <c r="C102" s="3" t="s">
        <v>68</v>
      </c>
      <c r="D102" s="3" t="s">
        <v>122</v>
      </c>
      <c r="E102" s="14"/>
      <c r="F102" s="44"/>
    </row>
    <row r="103" spans="1:6" ht="19" x14ac:dyDescent="0.2">
      <c r="A103" s="53" t="s">
        <v>204</v>
      </c>
      <c r="B103" s="11" t="s">
        <v>55</v>
      </c>
      <c r="C103" s="3" t="s">
        <v>67</v>
      </c>
      <c r="D103" s="3" t="s">
        <v>123</v>
      </c>
      <c r="E103" s="14"/>
      <c r="F103" s="44"/>
    </row>
    <row r="104" spans="1:6" ht="19" x14ac:dyDescent="0.2">
      <c r="A104" s="53" t="s">
        <v>205</v>
      </c>
      <c r="B104" s="11" t="s">
        <v>55</v>
      </c>
      <c r="C104" s="3" t="s">
        <v>67</v>
      </c>
      <c r="D104" s="3" t="s">
        <v>123</v>
      </c>
      <c r="E104" s="14"/>
      <c r="F104" s="44"/>
    </row>
    <row r="105" spans="1:6" ht="19" x14ac:dyDescent="0.2">
      <c r="A105" s="53" t="s">
        <v>206</v>
      </c>
      <c r="B105" s="11" t="s">
        <v>55</v>
      </c>
      <c r="C105" s="3" t="s">
        <v>67</v>
      </c>
      <c r="D105" s="3" t="s">
        <v>123</v>
      </c>
      <c r="E105" s="4"/>
      <c r="F105" s="44"/>
    </row>
    <row r="106" spans="1:6" ht="19" x14ac:dyDescent="0.2">
      <c r="A106" s="53" t="s">
        <v>207</v>
      </c>
      <c r="B106" s="11" t="s">
        <v>55</v>
      </c>
      <c r="C106" s="3" t="s">
        <v>67</v>
      </c>
      <c r="D106" s="3" t="s">
        <v>123</v>
      </c>
      <c r="E106" s="14"/>
      <c r="F106" s="44"/>
    </row>
    <row r="107" spans="1:6" ht="19" x14ac:dyDescent="0.2">
      <c r="A107" s="53" t="s">
        <v>208</v>
      </c>
      <c r="B107" s="11" t="s">
        <v>55</v>
      </c>
      <c r="C107" s="3" t="s">
        <v>67</v>
      </c>
      <c r="D107" s="3" t="s">
        <v>123</v>
      </c>
      <c r="E107" s="9"/>
      <c r="F107" s="44"/>
    </row>
    <row r="108" spans="1:6" ht="19" x14ac:dyDescent="0.2">
      <c r="A108" s="53" t="s">
        <v>209</v>
      </c>
      <c r="B108" s="11" t="s">
        <v>55</v>
      </c>
      <c r="C108" s="3" t="s">
        <v>67</v>
      </c>
      <c r="D108" s="3" t="s">
        <v>123</v>
      </c>
      <c r="E108" s="4"/>
      <c r="F108" s="44"/>
    </row>
    <row r="109" spans="1:6" ht="19" x14ac:dyDescent="0.2">
      <c r="A109" s="53" t="s">
        <v>210</v>
      </c>
      <c r="B109" s="11" t="s">
        <v>55</v>
      </c>
      <c r="C109" s="3" t="s">
        <v>67</v>
      </c>
      <c r="D109" s="3" t="s">
        <v>167</v>
      </c>
      <c r="E109" s="33"/>
      <c r="F109" s="44"/>
    </row>
    <row r="110" spans="1:6" ht="19" x14ac:dyDescent="0.2">
      <c r="A110" s="53" t="s">
        <v>211</v>
      </c>
      <c r="B110" s="11" t="s">
        <v>55</v>
      </c>
      <c r="C110" s="3" t="s">
        <v>67</v>
      </c>
      <c r="D110" s="3" t="s">
        <v>167</v>
      </c>
      <c r="E110" s="14"/>
      <c r="F110" s="44"/>
    </row>
    <row r="111" spans="1:6" ht="19" x14ac:dyDescent="0.2">
      <c r="A111" s="53" t="s">
        <v>212</v>
      </c>
      <c r="B111" s="11" t="s">
        <v>55</v>
      </c>
      <c r="C111" s="3" t="s">
        <v>67</v>
      </c>
      <c r="D111" s="3" t="s">
        <v>167</v>
      </c>
      <c r="E111" s="14"/>
      <c r="F111" s="44"/>
    </row>
    <row r="112" spans="1:6" ht="19" x14ac:dyDescent="0.2">
      <c r="A112" s="53" t="s">
        <v>213</v>
      </c>
      <c r="B112" s="11" t="s">
        <v>55</v>
      </c>
      <c r="C112" s="3" t="s">
        <v>67</v>
      </c>
      <c r="D112" s="3" t="s">
        <v>167</v>
      </c>
      <c r="E112" s="3"/>
      <c r="F112" s="44"/>
    </row>
    <row r="113" spans="1:6" ht="19" x14ac:dyDescent="0.2">
      <c r="A113" s="53" t="s">
        <v>214</v>
      </c>
      <c r="B113" s="11" t="s">
        <v>55</v>
      </c>
      <c r="C113" s="3" t="s">
        <v>67</v>
      </c>
      <c r="D113" s="3" t="s">
        <v>167</v>
      </c>
      <c r="E113" s="9"/>
      <c r="F113" s="44"/>
    </row>
    <row r="114" spans="1:6" ht="19" x14ac:dyDescent="0.2">
      <c r="A114" s="53" t="s">
        <v>215</v>
      </c>
      <c r="B114" s="11" t="s">
        <v>55</v>
      </c>
      <c r="C114" s="3" t="s">
        <v>67</v>
      </c>
      <c r="D114" s="3" t="s">
        <v>167</v>
      </c>
      <c r="E114" s="9"/>
      <c r="F114" s="44"/>
    </row>
    <row r="115" spans="1:6" ht="19" x14ac:dyDescent="0.2">
      <c r="A115" s="53" t="s">
        <v>216</v>
      </c>
      <c r="B115" s="11" t="s">
        <v>55</v>
      </c>
      <c r="C115" s="3" t="s">
        <v>67</v>
      </c>
      <c r="D115" s="3" t="s">
        <v>167</v>
      </c>
      <c r="E115" s="9"/>
      <c r="F115" s="44"/>
    </row>
    <row r="116" spans="1:6" ht="19" x14ac:dyDescent="0.2">
      <c r="A116" s="53" t="s">
        <v>217</v>
      </c>
      <c r="B116" s="50" t="s">
        <v>55</v>
      </c>
      <c r="C116" s="52" t="s">
        <v>67</v>
      </c>
      <c r="D116" s="3" t="s">
        <v>167</v>
      </c>
      <c r="E116" s="51"/>
      <c r="F116" s="44"/>
    </row>
    <row r="117" spans="1:6" ht="19" x14ac:dyDescent="0.2">
      <c r="A117" s="2"/>
      <c r="B117" s="11"/>
      <c r="C117" s="11"/>
      <c r="D117" s="3"/>
      <c r="E117" s="9"/>
      <c r="F117" s="44"/>
    </row>
  </sheetData>
  <autoFilter ref="A1:F2" xr:uid="{9741851F-94FA-4D1D-B1CE-4B5C80AED719}"/>
  <mergeCells count="24">
    <mergeCell ref="F1:F2"/>
    <mergeCell ref="A1:A2"/>
    <mergeCell ref="B1:B2"/>
    <mergeCell ref="C1:C2"/>
    <mergeCell ref="D1:D2"/>
    <mergeCell ref="E1:E2"/>
    <mergeCell ref="A38:A39"/>
    <mergeCell ref="E38:E39"/>
    <mergeCell ref="A40:A41"/>
    <mergeCell ref="E40:E41"/>
    <mergeCell ref="A42:A43"/>
    <mergeCell ref="E42:E43"/>
    <mergeCell ref="A44:A45"/>
    <mergeCell ref="E44:E45"/>
    <mergeCell ref="A46:A47"/>
    <mergeCell ref="E46:E47"/>
    <mergeCell ref="A48:A49"/>
    <mergeCell ref="E48:E49"/>
    <mergeCell ref="F48:F49"/>
    <mergeCell ref="F40:F41"/>
    <mergeCell ref="F38:F39"/>
    <mergeCell ref="F42:F43"/>
    <mergeCell ref="F44:F45"/>
    <mergeCell ref="F46:F47"/>
  </mergeCells>
  <phoneticPr fontId="2" type="noConversion"/>
  <hyperlinks>
    <hyperlink ref="F1:F2" r:id="rId1" display="Slide Number in PPT" xr:uid="{B0630A8B-797D-45FF-971F-D9720CE02BCC}"/>
  </hyperlinks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4ADF427-82D2-470B-A5C9-A60E4EC8DB3C}">
          <x14:formula1>
            <xm:f>categories!$D$4:$D$20</xm:f>
          </x14:formula1>
          <xm:sqref>D3:D117</xm:sqref>
        </x14:dataValidation>
        <x14:dataValidation type="list" allowBlank="1" showInputMessage="1" showErrorMessage="1" xr:uid="{2AD4B878-033E-471E-9F2E-BD6E919B49F4}">
          <x14:formula1>
            <xm:f>categories!$B$4:$B$8</xm:f>
          </x14:formula1>
          <xm:sqref>B3:B117</xm:sqref>
        </x14:dataValidation>
        <x14:dataValidation type="list" allowBlank="1" showInputMessage="1" showErrorMessage="1" xr:uid="{24866F9E-D12F-4D9B-82EE-8F90D8C18278}">
          <x14:formula1>
            <xm:f>categories!$C$4:$C$11</xm:f>
          </x14:formula1>
          <xm:sqref>C3:C117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3DAF-9DF7-4E86-8D8C-B2CEAB9469E0}">
  <dimension ref="A5:B7"/>
  <sheetViews>
    <sheetView workbookViewId="0">
      <selection activeCell="C7" sqref="C7"/>
    </sheetView>
  </sheetViews>
  <sheetFormatPr baseColWidth="10" defaultRowHeight="15" x14ac:dyDescent="0.2"/>
  <cols>
    <col min="1" max="1" width="15" bestFit="1" customWidth="1"/>
    <col min="2" max="2" width="11.1640625" bestFit="1" customWidth="1"/>
    <col min="3" max="3" width="20.83203125" bestFit="1" customWidth="1"/>
    <col min="4" max="4" width="18.33203125" bestFit="1" customWidth="1"/>
    <col min="5" max="9" width="3" bestFit="1" customWidth="1"/>
    <col min="10" max="26" width="4" bestFit="1" customWidth="1"/>
    <col min="27" max="61" width="5" bestFit="1" customWidth="1"/>
    <col min="62" max="63" width="6" bestFit="1" customWidth="1"/>
    <col min="64" max="64" width="6.33203125" bestFit="1" customWidth="1"/>
    <col min="65" max="83" width="14.33203125" bestFit="1" customWidth="1"/>
  </cols>
  <sheetData>
    <row r="5" spans="1:2" x14ac:dyDescent="0.2">
      <c r="A5" s="71" t="s">
        <v>53</v>
      </c>
      <c r="B5" s="71" t="s">
        <v>57</v>
      </c>
    </row>
    <row r="6" spans="1:2" x14ac:dyDescent="0.2">
      <c r="A6" t="s">
        <v>71</v>
      </c>
    </row>
    <row r="7" spans="1:2" x14ac:dyDescent="0.2">
      <c r="A7" t="s">
        <v>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6DF3-5302-49AF-8853-C8299BB64E76}">
  <dimension ref="A3:C19"/>
  <sheetViews>
    <sheetView workbookViewId="0">
      <selection activeCell="B15" sqref="B15"/>
    </sheetView>
  </sheetViews>
  <sheetFormatPr baseColWidth="10" defaultRowHeight="15" x14ac:dyDescent="0.2"/>
  <cols>
    <col min="1" max="1" width="10" bestFit="1" customWidth="1"/>
    <col min="2" max="2" width="12.5" bestFit="1" customWidth="1"/>
    <col min="3" max="6" width="36.6640625" bestFit="1" customWidth="1"/>
  </cols>
  <sheetData>
    <row r="3" spans="1:3" x14ac:dyDescent="0.2">
      <c r="A3" s="71" t="s">
        <v>53</v>
      </c>
      <c r="B3" s="71" t="s">
        <v>1</v>
      </c>
      <c r="C3" t="s">
        <v>219</v>
      </c>
    </row>
    <row r="4" spans="1:3" x14ac:dyDescent="0.2">
      <c r="A4" t="s">
        <v>72</v>
      </c>
      <c r="B4" t="s">
        <v>128</v>
      </c>
    </row>
    <row r="5" spans="1:3" x14ac:dyDescent="0.2">
      <c r="A5" t="s">
        <v>72</v>
      </c>
      <c r="B5" t="s">
        <v>129</v>
      </c>
    </row>
    <row r="6" spans="1:3" x14ac:dyDescent="0.2">
      <c r="A6" t="s">
        <v>64</v>
      </c>
      <c r="B6" t="s">
        <v>130</v>
      </c>
    </row>
    <row r="7" spans="1:3" x14ac:dyDescent="0.2">
      <c r="A7" t="s">
        <v>64</v>
      </c>
      <c r="B7" t="s">
        <v>65</v>
      </c>
    </row>
    <row r="8" spans="1:3" x14ac:dyDescent="0.2">
      <c r="A8" t="s">
        <v>64</v>
      </c>
      <c r="B8" t="s">
        <v>131</v>
      </c>
    </row>
    <row r="9" spans="1:3" x14ac:dyDescent="0.2">
      <c r="A9" t="s">
        <v>64</v>
      </c>
      <c r="B9" t="s">
        <v>132</v>
      </c>
    </row>
    <row r="10" spans="1:3" x14ac:dyDescent="0.2">
      <c r="A10" t="s">
        <v>67</v>
      </c>
      <c r="B10" t="s">
        <v>167</v>
      </c>
    </row>
    <row r="11" spans="1:3" x14ac:dyDescent="0.2">
      <c r="A11" t="s">
        <v>67</v>
      </c>
      <c r="B11" t="s">
        <v>123</v>
      </c>
    </row>
    <row r="12" spans="1:3" x14ac:dyDescent="0.2">
      <c r="A12" t="s">
        <v>66</v>
      </c>
      <c r="B12" t="s">
        <v>126</v>
      </c>
    </row>
    <row r="13" spans="1:3" x14ac:dyDescent="0.2">
      <c r="A13" t="s">
        <v>66</v>
      </c>
      <c r="B13" t="s">
        <v>127</v>
      </c>
    </row>
    <row r="14" spans="1:3" x14ac:dyDescent="0.2">
      <c r="A14" t="s">
        <v>71</v>
      </c>
      <c r="B14" t="s">
        <v>125</v>
      </c>
      <c r="C14">
        <v>1</v>
      </c>
    </row>
    <row r="15" spans="1:3" x14ac:dyDescent="0.2">
      <c r="A15" t="s">
        <v>71</v>
      </c>
      <c r="B15" t="s">
        <v>71</v>
      </c>
    </row>
    <row r="16" spans="1:3" x14ac:dyDescent="0.2">
      <c r="A16" t="s">
        <v>70</v>
      </c>
      <c r="B16" t="s">
        <v>70</v>
      </c>
      <c r="C16">
        <v>12</v>
      </c>
    </row>
    <row r="17" spans="1:2" x14ac:dyDescent="0.2">
      <c r="A17" t="s">
        <v>68</v>
      </c>
      <c r="B17" t="s">
        <v>122</v>
      </c>
    </row>
    <row r="18" spans="1:2" x14ac:dyDescent="0.2">
      <c r="A18" t="s">
        <v>68</v>
      </c>
      <c r="B18" t="s">
        <v>121</v>
      </c>
    </row>
    <row r="19" spans="1:2" x14ac:dyDescent="0.2">
      <c r="A19" t="s">
        <v>218</v>
      </c>
      <c r="B19" t="s">
        <v>218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6696-52BF-4BBA-B85B-F556846145D0}">
  <dimension ref="A1:O29"/>
  <sheetViews>
    <sheetView zoomScale="86" zoomScaleNormal="86" workbookViewId="0">
      <selection activeCell="P22" sqref="P22"/>
    </sheetView>
  </sheetViews>
  <sheetFormatPr baseColWidth="10" defaultRowHeight="15" x14ac:dyDescent="0.2"/>
  <cols>
    <col min="2" max="2" width="9.1640625" customWidth="1"/>
    <col min="3" max="3" width="16.5" customWidth="1"/>
    <col min="4" max="4" width="13" customWidth="1"/>
    <col min="5" max="5" width="32.33203125" customWidth="1"/>
    <col min="6" max="6" width="20.6640625" customWidth="1"/>
    <col min="11" max="11" width="19.6640625" customWidth="1"/>
    <col min="14" max="14" width="16.5" customWidth="1"/>
    <col min="15" max="15" width="24.5" customWidth="1"/>
  </cols>
  <sheetData>
    <row r="1" spans="1:15" ht="48" x14ac:dyDescent="0.2">
      <c r="A1" s="1" t="s">
        <v>0</v>
      </c>
      <c r="B1" s="1" t="s">
        <v>54</v>
      </c>
      <c r="C1" s="1" t="s">
        <v>53</v>
      </c>
      <c r="D1" s="1" t="s">
        <v>1</v>
      </c>
      <c r="E1" s="1" t="s">
        <v>73</v>
      </c>
      <c r="F1" s="1" t="s">
        <v>57</v>
      </c>
      <c r="G1" s="1" t="s">
        <v>2</v>
      </c>
      <c r="H1" s="1" t="s">
        <v>3</v>
      </c>
      <c r="I1" s="1" t="s">
        <v>4</v>
      </c>
      <c r="J1" s="1" t="s">
        <v>79</v>
      </c>
      <c r="K1" s="1" t="s">
        <v>97</v>
      </c>
      <c r="L1" s="1"/>
      <c r="M1" s="1" t="s">
        <v>83</v>
      </c>
      <c r="N1" s="1" t="s">
        <v>5</v>
      </c>
      <c r="O1" s="13" t="s">
        <v>89</v>
      </c>
    </row>
    <row r="2" spans="1:15" ht="75" customHeight="1" x14ac:dyDescent="0.2">
      <c r="A2" s="2" t="s">
        <v>6</v>
      </c>
      <c r="B2" s="99" t="s">
        <v>56</v>
      </c>
      <c r="C2" s="75" t="s">
        <v>70</v>
      </c>
      <c r="D2" s="75" t="s">
        <v>70</v>
      </c>
      <c r="E2" s="12" t="s">
        <v>77</v>
      </c>
      <c r="F2" s="4" t="s">
        <v>59</v>
      </c>
      <c r="G2" s="37">
        <v>2022</v>
      </c>
      <c r="H2" s="5">
        <v>2022</v>
      </c>
      <c r="I2" s="5">
        <v>1</v>
      </c>
      <c r="J2" s="5">
        <v>5</v>
      </c>
      <c r="K2" s="6" t="s">
        <v>78</v>
      </c>
      <c r="L2" s="6"/>
      <c r="M2" s="5">
        <v>300</v>
      </c>
      <c r="N2" s="5" t="s">
        <v>84</v>
      </c>
      <c r="O2" s="4" t="s">
        <v>90</v>
      </c>
    </row>
    <row r="3" spans="1:15" ht="75" customHeight="1" x14ac:dyDescent="0.2">
      <c r="A3" s="2" t="s">
        <v>7</v>
      </c>
      <c r="B3" s="99"/>
      <c r="C3" s="76"/>
      <c r="D3" s="76"/>
      <c r="E3" s="12" t="s">
        <v>81</v>
      </c>
      <c r="F3" s="4" t="s">
        <v>59</v>
      </c>
      <c r="G3" s="39"/>
      <c r="H3" s="5">
        <v>2022</v>
      </c>
      <c r="I3" s="5">
        <v>1</v>
      </c>
      <c r="J3" s="5">
        <v>2</v>
      </c>
      <c r="K3" s="6" t="s">
        <v>78</v>
      </c>
      <c r="L3" s="6"/>
      <c r="M3" s="5">
        <v>458</v>
      </c>
      <c r="N3" s="5" t="s">
        <v>84</v>
      </c>
      <c r="O3" s="4" t="s">
        <v>91</v>
      </c>
    </row>
    <row r="4" spans="1:15" ht="60" customHeight="1" x14ac:dyDescent="0.2">
      <c r="A4" s="2" t="s">
        <v>8</v>
      </c>
      <c r="B4" s="99"/>
      <c r="C4" s="76"/>
      <c r="D4" s="76"/>
      <c r="E4" s="12" t="s">
        <v>82</v>
      </c>
      <c r="F4" s="4" t="s">
        <v>62</v>
      </c>
      <c r="G4" s="39"/>
      <c r="H4" s="5">
        <v>2012</v>
      </c>
      <c r="I4" s="5">
        <v>10</v>
      </c>
      <c r="J4" s="5">
        <v>10</v>
      </c>
      <c r="K4" s="6" t="s">
        <v>78</v>
      </c>
      <c r="L4" s="6"/>
      <c r="M4" s="5">
        <v>80</v>
      </c>
      <c r="N4" s="5" t="s">
        <v>85</v>
      </c>
      <c r="O4" s="4" t="s">
        <v>92</v>
      </c>
    </row>
    <row r="5" spans="1:15" ht="75" customHeight="1" x14ac:dyDescent="0.2">
      <c r="A5" s="2" t="s">
        <v>9</v>
      </c>
      <c r="B5" s="99"/>
      <c r="C5" s="76"/>
      <c r="D5" s="76"/>
      <c r="E5" s="3" t="s">
        <v>86</v>
      </c>
      <c r="F5" s="4" t="s">
        <v>59</v>
      </c>
      <c r="G5" s="39"/>
      <c r="H5" s="5">
        <v>2022</v>
      </c>
      <c r="I5" s="5">
        <v>1</v>
      </c>
      <c r="J5" s="5">
        <v>15</v>
      </c>
      <c r="K5" s="5" t="s">
        <v>78</v>
      </c>
      <c r="L5" s="5"/>
      <c r="M5" s="5">
        <v>412</v>
      </c>
      <c r="N5" s="5" t="s">
        <v>87</v>
      </c>
      <c r="O5" s="4" t="s">
        <v>93</v>
      </c>
    </row>
    <row r="6" spans="1:15" ht="30" customHeight="1" x14ac:dyDescent="0.2">
      <c r="A6" s="2" t="s">
        <v>10</v>
      </c>
      <c r="B6" s="99"/>
      <c r="C6" s="76"/>
      <c r="D6" s="76"/>
      <c r="E6" s="17" t="s">
        <v>100</v>
      </c>
      <c r="F6" s="18" t="s">
        <v>63</v>
      </c>
      <c r="G6" s="39"/>
      <c r="H6" s="15">
        <v>2022</v>
      </c>
      <c r="I6" s="15">
        <v>1</v>
      </c>
      <c r="J6" s="15">
        <v>3</v>
      </c>
      <c r="K6" s="15" t="s">
        <v>78</v>
      </c>
      <c r="L6" s="15"/>
      <c r="M6" s="15">
        <v>100</v>
      </c>
      <c r="N6" s="15" t="s">
        <v>80</v>
      </c>
      <c r="O6" s="16" t="s">
        <v>101</v>
      </c>
    </row>
    <row r="7" spans="1:15" ht="105" customHeight="1" x14ac:dyDescent="0.2">
      <c r="A7" s="2" t="s">
        <v>11</v>
      </c>
      <c r="B7" s="99"/>
      <c r="C7" s="76"/>
      <c r="D7" s="100"/>
      <c r="E7" s="12" t="s">
        <v>88</v>
      </c>
      <c r="F7" s="4" t="s">
        <v>60</v>
      </c>
      <c r="G7" s="39"/>
      <c r="H7" s="5">
        <v>2022</v>
      </c>
      <c r="I7" s="5">
        <v>1</v>
      </c>
      <c r="J7" s="5">
        <v>20</v>
      </c>
      <c r="K7" s="5" t="s">
        <v>78</v>
      </c>
      <c r="L7" s="5"/>
      <c r="M7" s="5">
        <v>315</v>
      </c>
      <c r="N7" s="5" t="s">
        <v>80</v>
      </c>
      <c r="O7" s="4" t="s">
        <v>94</v>
      </c>
    </row>
    <row r="8" spans="1:15" ht="16" x14ac:dyDescent="0.2">
      <c r="A8" s="2" t="s">
        <v>12</v>
      </c>
      <c r="B8" s="99"/>
      <c r="C8" s="99" t="s">
        <v>71</v>
      </c>
      <c r="D8" s="75" t="s">
        <v>95</v>
      </c>
      <c r="E8" s="17" t="s">
        <v>96</v>
      </c>
      <c r="F8" s="18" t="s">
        <v>63</v>
      </c>
      <c r="G8" s="39"/>
      <c r="H8" s="15">
        <v>2017</v>
      </c>
      <c r="I8" s="15">
        <v>6</v>
      </c>
      <c r="J8" s="15">
        <v>85</v>
      </c>
      <c r="K8" s="20">
        <v>0.28000000000000003</v>
      </c>
      <c r="L8" s="20"/>
      <c r="M8" s="15">
        <v>2594</v>
      </c>
      <c r="N8" s="15" t="s">
        <v>80</v>
      </c>
      <c r="O8" s="19" t="s">
        <v>98</v>
      </c>
    </row>
    <row r="9" spans="1:15" ht="16" x14ac:dyDescent="0.2">
      <c r="A9" s="2" t="s">
        <v>13</v>
      </c>
      <c r="B9" s="99"/>
      <c r="C9" s="99"/>
      <c r="D9" s="76"/>
      <c r="E9" s="17" t="s">
        <v>102</v>
      </c>
      <c r="F9" s="18" t="s">
        <v>63</v>
      </c>
      <c r="G9" s="39"/>
      <c r="H9" s="15">
        <v>2014</v>
      </c>
      <c r="I9" s="15">
        <v>8</v>
      </c>
      <c r="J9" s="15">
        <v>300</v>
      </c>
      <c r="K9" s="20">
        <v>1</v>
      </c>
      <c r="L9" s="20"/>
      <c r="M9" s="15">
        <v>8000</v>
      </c>
      <c r="N9" s="15" t="s">
        <v>80</v>
      </c>
      <c r="O9" s="19" t="s">
        <v>98</v>
      </c>
    </row>
    <row r="10" spans="1:15" ht="16" x14ac:dyDescent="0.2">
      <c r="A10" s="2" t="s">
        <v>14</v>
      </c>
      <c r="B10" s="99"/>
      <c r="C10" s="99"/>
      <c r="D10" s="76"/>
      <c r="E10" s="17" t="s">
        <v>103</v>
      </c>
      <c r="F10" s="18" t="s">
        <v>63</v>
      </c>
      <c r="G10" s="39"/>
      <c r="H10" s="15">
        <v>2020</v>
      </c>
      <c r="I10" s="15">
        <v>2</v>
      </c>
      <c r="J10" s="15">
        <v>12</v>
      </c>
      <c r="K10" s="23">
        <v>0.04</v>
      </c>
      <c r="L10" s="23"/>
      <c r="M10" s="15">
        <v>0</v>
      </c>
      <c r="N10" s="15" t="s">
        <v>80</v>
      </c>
      <c r="O10" s="19" t="s">
        <v>98</v>
      </c>
    </row>
    <row r="11" spans="1:15" ht="60" customHeight="1" x14ac:dyDescent="0.2">
      <c r="A11" s="2" t="s">
        <v>15</v>
      </c>
      <c r="B11" s="99"/>
      <c r="C11" s="99"/>
      <c r="D11" s="76"/>
      <c r="E11" s="12" t="s">
        <v>104</v>
      </c>
      <c r="F11" s="4" t="s">
        <v>61</v>
      </c>
      <c r="G11" s="39"/>
      <c r="H11" s="5">
        <v>2014</v>
      </c>
      <c r="I11" s="5">
        <v>8</v>
      </c>
      <c r="J11" s="5">
        <v>1</v>
      </c>
      <c r="K11" s="21">
        <v>0.34</v>
      </c>
      <c r="L11" s="21"/>
      <c r="M11" s="5">
        <v>1000</v>
      </c>
      <c r="N11" s="5" t="s">
        <v>80</v>
      </c>
      <c r="O11" s="22" t="s">
        <v>98</v>
      </c>
    </row>
    <row r="12" spans="1:15" ht="16" x14ac:dyDescent="0.2">
      <c r="A12" s="2" t="s">
        <v>16</v>
      </c>
      <c r="B12" s="99"/>
      <c r="C12" s="99"/>
      <c r="D12" s="76"/>
      <c r="E12" s="17" t="s">
        <v>105</v>
      </c>
      <c r="F12" s="18" t="s">
        <v>63</v>
      </c>
      <c r="G12" s="39"/>
      <c r="H12" s="15">
        <v>2014</v>
      </c>
      <c r="I12" s="15">
        <v>8</v>
      </c>
      <c r="J12" s="15">
        <v>12</v>
      </c>
      <c r="K12" s="20">
        <v>0.04</v>
      </c>
      <c r="L12" s="20"/>
      <c r="M12" s="15">
        <v>0</v>
      </c>
      <c r="N12" s="15" t="s">
        <v>80</v>
      </c>
      <c r="O12" s="17" t="s">
        <v>98</v>
      </c>
    </row>
    <row r="13" spans="1:15" ht="16" x14ac:dyDescent="0.2">
      <c r="A13" s="2" t="s">
        <v>17</v>
      </c>
      <c r="B13" s="99"/>
      <c r="C13" s="99"/>
      <c r="D13" s="76"/>
      <c r="E13" s="17" t="s">
        <v>106</v>
      </c>
      <c r="F13" s="18" t="s">
        <v>63</v>
      </c>
      <c r="G13" s="39"/>
      <c r="H13" s="15">
        <v>2014</v>
      </c>
      <c r="I13" s="15">
        <v>8</v>
      </c>
      <c r="J13" s="15">
        <v>240</v>
      </c>
      <c r="K13" s="20">
        <v>0.78</v>
      </c>
      <c r="L13" s="20"/>
      <c r="M13" s="15">
        <v>11000</v>
      </c>
      <c r="N13" s="15" t="s">
        <v>80</v>
      </c>
      <c r="O13" s="17" t="s">
        <v>98</v>
      </c>
    </row>
    <row r="14" spans="1:15" ht="16" x14ac:dyDescent="0.2">
      <c r="A14" s="2" t="s">
        <v>18</v>
      </c>
      <c r="B14" s="99"/>
      <c r="C14" s="99"/>
      <c r="D14" s="100"/>
      <c r="E14" s="17" t="s">
        <v>107</v>
      </c>
      <c r="F14" s="18" t="s">
        <v>62</v>
      </c>
      <c r="G14" s="39"/>
      <c r="H14" s="15">
        <v>2017</v>
      </c>
      <c r="I14" s="15">
        <v>6</v>
      </c>
      <c r="J14" s="15">
        <v>12</v>
      </c>
      <c r="K14" s="20">
        <v>0.04</v>
      </c>
      <c r="L14" s="20"/>
      <c r="M14" s="15">
        <v>760</v>
      </c>
      <c r="N14" s="15" t="s">
        <v>80</v>
      </c>
      <c r="O14" s="17" t="s">
        <v>98</v>
      </c>
    </row>
    <row r="15" spans="1:15" ht="16" x14ac:dyDescent="0.2">
      <c r="A15" s="2" t="s">
        <v>19</v>
      </c>
      <c r="B15" s="99"/>
      <c r="C15" s="99"/>
      <c r="D15" s="75" t="s">
        <v>71</v>
      </c>
      <c r="E15" s="17" t="s">
        <v>108</v>
      </c>
      <c r="F15" s="18" t="s">
        <v>63</v>
      </c>
      <c r="G15" s="39"/>
      <c r="H15" s="15">
        <v>2017</v>
      </c>
      <c r="I15" s="15">
        <v>6</v>
      </c>
      <c r="J15" s="15">
        <v>76</v>
      </c>
      <c r="K15" s="20">
        <v>0.24</v>
      </c>
      <c r="L15" s="20"/>
      <c r="M15" s="15">
        <v>2482</v>
      </c>
      <c r="N15" s="15" t="s">
        <v>80</v>
      </c>
      <c r="O15" s="17" t="s">
        <v>98</v>
      </c>
    </row>
    <row r="16" spans="1:15" ht="16" x14ac:dyDescent="0.2">
      <c r="A16" s="2" t="s">
        <v>20</v>
      </c>
      <c r="B16" s="99"/>
      <c r="C16" s="99"/>
      <c r="D16" s="76"/>
      <c r="E16" s="17" t="s">
        <v>109</v>
      </c>
      <c r="F16" s="18" t="s">
        <v>63</v>
      </c>
      <c r="G16" s="39"/>
      <c r="H16" s="15">
        <v>2014</v>
      </c>
      <c r="I16" s="15">
        <v>8</v>
      </c>
      <c r="J16" s="15">
        <v>278</v>
      </c>
      <c r="K16" s="20">
        <v>0.89</v>
      </c>
      <c r="L16" s="20"/>
      <c r="M16" s="15">
        <v>10000</v>
      </c>
      <c r="N16" s="15" t="s">
        <v>80</v>
      </c>
      <c r="O16" s="17" t="s">
        <v>98</v>
      </c>
    </row>
    <row r="17" spans="1:15" ht="16" x14ac:dyDescent="0.2">
      <c r="A17" s="2" t="s">
        <v>21</v>
      </c>
      <c r="B17" s="99"/>
      <c r="C17" s="99"/>
      <c r="D17" s="76"/>
      <c r="E17" s="17" t="s">
        <v>103</v>
      </c>
      <c r="F17" s="18" t="s">
        <v>63</v>
      </c>
      <c r="G17" s="39"/>
      <c r="H17" s="15">
        <v>2020</v>
      </c>
      <c r="I17" s="15">
        <v>2</v>
      </c>
      <c r="J17" s="24">
        <v>50</v>
      </c>
      <c r="K17" s="20">
        <v>0.16</v>
      </c>
      <c r="L17" s="20"/>
      <c r="M17" s="15">
        <v>0</v>
      </c>
      <c r="N17" s="15" t="s">
        <v>80</v>
      </c>
      <c r="O17" s="17" t="s">
        <v>98</v>
      </c>
    </row>
    <row r="18" spans="1:15" ht="75" customHeight="1" x14ac:dyDescent="0.2">
      <c r="A18" s="2" t="s">
        <v>22</v>
      </c>
      <c r="B18" s="99"/>
      <c r="C18" s="99"/>
      <c r="D18" s="76"/>
      <c r="E18" s="3" t="s">
        <v>110</v>
      </c>
      <c r="F18" s="4" t="s">
        <v>62</v>
      </c>
      <c r="G18" s="39"/>
      <c r="H18" s="5">
        <v>2019</v>
      </c>
      <c r="I18" s="5" t="s">
        <v>78</v>
      </c>
      <c r="J18" s="5">
        <v>10</v>
      </c>
      <c r="K18" s="6" t="s">
        <v>111</v>
      </c>
      <c r="L18" s="6"/>
      <c r="M18" s="5">
        <v>200</v>
      </c>
      <c r="N18" s="25" t="s">
        <v>80</v>
      </c>
      <c r="O18" s="14" t="s">
        <v>112</v>
      </c>
    </row>
    <row r="19" spans="1:15" ht="150" customHeight="1" x14ac:dyDescent="0.2">
      <c r="A19" s="2" t="s">
        <v>23</v>
      </c>
      <c r="B19" s="99"/>
      <c r="C19" s="99"/>
      <c r="D19" s="76"/>
      <c r="E19" s="12" t="s">
        <v>113</v>
      </c>
      <c r="F19" s="4" t="s">
        <v>60</v>
      </c>
      <c r="G19" s="39"/>
      <c r="H19" s="5">
        <v>2015</v>
      </c>
      <c r="I19" s="5">
        <v>7</v>
      </c>
      <c r="J19" s="5">
        <v>22</v>
      </c>
      <c r="K19" s="6">
        <v>7.0000000000000007E-2</v>
      </c>
      <c r="L19" s="6"/>
      <c r="M19" s="5">
        <v>800</v>
      </c>
      <c r="N19" s="5" t="s">
        <v>80</v>
      </c>
      <c r="O19" s="12" t="s">
        <v>114</v>
      </c>
    </row>
    <row r="20" spans="1:15" ht="90" customHeight="1" x14ac:dyDescent="0.2">
      <c r="A20" s="2" t="s">
        <v>24</v>
      </c>
      <c r="B20" s="99"/>
      <c r="C20" s="99"/>
      <c r="D20" s="76"/>
      <c r="E20" s="3" t="s">
        <v>115</v>
      </c>
      <c r="F20" s="4" t="s">
        <v>59</v>
      </c>
      <c r="G20" s="39"/>
      <c r="H20" s="5">
        <v>2022</v>
      </c>
      <c r="I20" s="5">
        <v>1</v>
      </c>
      <c r="J20" s="5" t="s">
        <v>78</v>
      </c>
      <c r="K20" s="6" t="s">
        <v>78</v>
      </c>
      <c r="L20" s="6"/>
      <c r="M20" s="5">
        <v>300</v>
      </c>
      <c r="N20" s="5" t="s">
        <v>80</v>
      </c>
      <c r="O20" s="14" t="s">
        <v>116</v>
      </c>
    </row>
    <row r="21" spans="1:15" ht="16" x14ac:dyDescent="0.2">
      <c r="A21" s="2" t="s">
        <v>25</v>
      </c>
      <c r="B21" s="99"/>
      <c r="C21" s="99"/>
      <c r="D21" s="100"/>
      <c r="E21" s="17" t="s">
        <v>117</v>
      </c>
      <c r="F21" s="18" t="s">
        <v>63</v>
      </c>
      <c r="G21" s="39"/>
      <c r="H21" s="15">
        <v>2009</v>
      </c>
      <c r="I21" s="15">
        <v>13</v>
      </c>
      <c r="J21" s="15">
        <v>268</v>
      </c>
      <c r="K21" s="20">
        <v>0.86</v>
      </c>
      <c r="L21" s="20"/>
      <c r="M21" s="15">
        <v>15000</v>
      </c>
      <c r="N21" s="15" t="s">
        <v>80</v>
      </c>
      <c r="O21" s="19" t="s">
        <v>98</v>
      </c>
    </row>
    <row r="22" spans="1:15" ht="64" x14ac:dyDescent="0.2">
      <c r="A22" s="26" t="s">
        <v>52</v>
      </c>
      <c r="B22" s="96" t="s">
        <v>119</v>
      </c>
      <c r="C22" s="97"/>
      <c r="D22" s="98"/>
      <c r="E22" s="12" t="s">
        <v>134</v>
      </c>
      <c r="F22" s="12" t="s">
        <v>118</v>
      </c>
      <c r="G22" s="38"/>
      <c r="H22" s="27"/>
      <c r="I22" s="27"/>
      <c r="J22" s="29">
        <f>SUM(J2:J21)</f>
        <v>1421</v>
      </c>
      <c r="K22" s="30">
        <f>AVERAGE(K8:K19,K21)</f>
        <v>0.39500000000000007</v>
      </c>
      <c r="L22" s="30"/>
      <c r="M22" s="29">
        <f>SUM(M2:M21)</f>
        <v>53801</v>
      </c>
      <c r="N22" s="27" t="s">
        <v>80</v>
      </c>
      <c r="O22" s="11" t="s">
        <v>120</v>
      </c>
    </row>
    <row r="23" spans="1:15" x14ac:dyDescent="0.2">
      <c r="J23" s="31"/>
    </row>
    <row r="26" spans="1:15" x14ac:dyDescent="0.2">
      <c r="E26" t="s">
        <v>59</v>
      </c>
      <c r="F26" s="32">
        <v>0.2</v>
      </c>
    </row>
    <row r="27" spans="1:15" x14ac:dyDescent="0.2">
      <c r="E27" t="s">
        <v>60</v>
      </c>
      <c r="F27" s="32">
        <v>0.1</v>
      </c>
    </row>
    <row r="28" spans="1:15" x14ac:dyDescent="0.2">
      <c r="E28" t="s">
        <v>61</v>
      </c>
      <c r="F28" s="32">
        <v>0.05</v>
      </c>
    </row>
    <row r="29" spans="1:15" x14ac:dyDescent="0.2">
      <c r="E29" t="s">
        <v>63</v>
      </c>
      <c r="F29" s="32">
        <v>0.6</v>
      </c>
    </row>
  </sheetData>
  <autoFilter ref="A1:O22" xr:uid="{74006696-52BF-4BBA-B85B-F556846145D0}"/>
  <mergeCells count="7">
    <mergeCell ref="B22:D22"/>
    <mergeCell ref="B2:B21"/>
    <mergeCell ref="C2:C7"/>
    <mergeCell ref="D2:D7"/>
    <mergeCell ref="C8:C21"/>
    <mergeCell ref="D8:D14"/>
    <mergeCell ref="D15:D21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1C5A50A-BF9D-44DF-8000-BF47AD7381BF}">
          <x14:formula1>
            <xm:f>categories!$B$4:$B$8</xm:f>
          </x14:formula1>
          <xm:sqref>B2</xm:sqref>
        </x14:dataValidation>
        <x14:dataValidation type="list" allowBlank="1" showInputMessage="1" showErrorMessage="1" xr:uid="{87F69FC4-294F-4614-998C-D6F9714BEE49}">
          <x14:formula1>
            <xm:f>categories!$E$4:$E$8</xm:f>
          </x14:formula1>
          <xm:sqref>F2:F21</xm:sqref>
        </x14:dataValidation>
        <x14:dataValidation type="list" allowBlank="1" showInputMessage="1" showErrorMessage="1" xr:uid="{47C3D577-2DAC-4E0E-88E3-4223FFA1DCC9}">
          <x14:formula1>
            <xm:f>categories!$C$4:$C$11</xm:f>
          </x14:formula1>
          <xm:sqref>C8 C2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FA5B-9B01-4E00-B271-0F569357DB29}">
  <dimension ref="B3:F20"/>
  <sheetViews>
    <sheetView workbookViewId="0">
      <selection activeCell="F10" sqref="F10"/>
    </sheetView>
  </sheetViews>
  <sheetFormatPr baseColWidth="10" defaultRowHeight="15" x14ac:dyDescent="0.2"/>
  <cols>
    <col min="2" max="2" width="18" customWidth="1"/>
    <col min="3" max="3" width="16" customWidth="1"/>
    <col min="4" max="4" width="14.6640625" customWidth="1"/>
    <col min="5" max="5" width="15.33203125" customWidth="1"/>
    <col min="6" max="6" width="16.83203125" customWidth="1"/>
  </cols>
  <sheetData>
    <row r="3" spans="2:6" x14ac:dyDescent="0.2">
      <c r="B3" s="7" t="s">
        <v>54</v>
      </c>
      <c r="C3" s="8" t="s">
        <v>58</v>
      </c>
      <c r="D3" s="7" t="s">
        <v>1</v>
      </c>
      <c r="E3" s="7" t="s">
        <v>57</v>
      </c>
      <c r="F3" s="7" t="s">
        <v>170</v>
      </c>
    </row>
    <row r="4" spans="2:6" x14ac:dyDescent="0.2">
      <c r="B4" s="10" t="s">
        <v>75</v>
      </c>
      <c r="C4" s="10" t="s">
        <v>64</v>
      </c>
      <c r="D4" s="9" t="s">
        <v>121</v>
      </c>
      <c r="E4" s="28" t="s">
        <v>59</v>
      </c>
      <c r="F4" s="9" t="s">
        <v>175</v>
      </c>
    </row>
    <row r="5" spans="2:6" x14ac:dyDescent="0.2">
      <c r="B5" s="10" t="s">
        <v>76</v>
      </c>
      <c r="C5" s="10" t="s">
        <v>65</v>
      </c>
      <c r="D5" s="9" t="s">
        <v>122</v>
      </c>
      <c r="E5" s="28" t="s">
        <v>60</v>
      </c>
      <c r="F5" s="9" t="s">
        <v>173</v>
      </c>
    </row>
    <row r="6" spans="2:6" x14ac:dyDescent="0.2">
      <c r="B6" s="10" t="s">
        <v>55</v>
      </c>
      <c r="C6" s="10" t="s">
        <v>66</v>
      </c>
      <c r="D6" s="9" t="s">
        <v>123</v>
      </c>
      <c r="E6" s="28" t="s">
        <v>172</v>
      </c>
      <c r="F6" s="9" t="s">
        <v>174</v>
      </c>
    </row>
    <row r="7" spans="2:6" x14ac:dyDescent="0.2">
      <c r="B7" s="10" t="s">
        <v>74</v>
      </c>
      <c r="C7" s="10" t="s">
        <v>67</v>
      </c>
      <c r="D7" s="9" t="s">
        <v>167</v>
      </c>
      <c r="E7" s="28" t="s">
        <v>62</v>
      </c>
      <c r="F7" s="9" t="s">
        <v>63</v>
      </c>
    </row>
    <row r="8" spans="2:6" x14ac:dyDescent="0.2">
      <c r="B8" s="10" t="s">
        <v>56</v>
      </c>
      <c r="C8" s="10" t="s">
        <v>68</v>
      </c>
      <c r="D8" s="9" t="s">
        <v>124</v>
      </c>
      <c r="E8" s="28" t="s">
        <v>139</v>
      </c>
    </row>
    <row r="9" spans="2:6" x14ac:dyDescent="0.2">
      <c r="C9" s="10" t="s">
        <v>70</v>
      </c>
      <c r="D9" s="9" t="s">
        <v>125</v>
      </c>
      <c r="E9" s="28" t="s">
        <v>63</v>
      </c>
    </row>
    <row r="10" spans="2:6" x14ac:dyDescent="0.2">
      <c r="C10" s="10" t="s">
        <v>71</v>
      </c>
      <c r="D10" s="9" t="s">
        <v>70</v>
      </c>
    </row>
    <row r="11" spans="2:6" x14ac:dyDescent="0.2">
      <c r="C11" s="10" t="s">
        <v>72</v>
      </c>
      <c r="D11" s="9" t="s">
        <v>126</v>
      </c>
    </row>
    <row r="12" spans="2:6" x14ac:dyDescent="0.2">
      <c r="D12" s="9" t="s">
        <v>127</v>
      </c>
    </row>
    <row r="13" spans="2:6" x14ac:dyDescent="0.2">
      <c r="D13" s="9" t="s">
        <v>69</v>
      </c>
    </row>
    <row r="14" spans="2:6" x14ac:dyDescent="0.2">
      <c r="D14" s="9" t="s">
        <v>128</v>
      </c>
    </row>
    <row r="15" spans="2:6" x14ac:dyDescent="0.2">
      <c r="D15" s="9" t="s">
        <v>129</v>
      </c>
    </row>
    <row r="16" spans="2:6" x14ac:dyDescent="0.2">
      <c r="D16" s="9" t="s">
        <v>130</v>
      </c>
    </row>
    <row r="17" spans="4:4" x14ac:dyDescent="0.2">
      <c r="D17" s="9" t="s">
        <v>131</v>
      </c>
    </row>
    <row r="18" spans="4:4" x14ac:dyDescent="0.2">
      <c r="D18" s="9" t="s">
        <v>65</v>
      </c>
    </row>
    <row r="19" spans="4:4" x14ac:dyDescent="0.2">
      <c r="D19" s="9" t="s">
        <v>132</v>
      </c>
    </row>
    <row r="20" spans="4:4" x14ac:dyDescent="0.2">
      <c r="D20" s="9" t="s">
        <v>133</v>
      </c>
    </row>
  </sheetData>
  <dataValidations count="1">
    <dataValidation type="list" allowBlank="1" showInputMessage="1" showErrorMessage="1" sqref="B4:B8" xr:uid="{5B5A8005-2D54-4A12-8B1D-AE1FEA80F936}">
      <formula1>$B$4:$B$8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6D18D7-09C9-43EA-8374-1976886224A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03e686d-b8c3-4e98-8091-91aec9e4c02f}" enabled="0" method="" siteId="{b03e686d-b8c3-4e98-8091-91aec9e4c0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Group figures</vt:lpstr>
      <vt:lpstr>Activities &amp; Slide Numbers</vt:lpstr>
      <vt:lpstr>Feuil4</vt:lpstr>
      <vt:lpstr>Feuil6</vt:lpstr>
      <vt:lpstr>EE0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CHAAOURI</dc:creator>
  <cp:lastModifiedBy>naiyetoussama@gmail.com</cp:lastModifiedBy>
  <dcterms:created xsi:type="dcterms:W3CDTF">2023-01-10T13:28:11Z</dcterms:created>
  <dcterms:modified xsi:type="dcterms:W3CDTF">2026-03-30T12:53:27Z</dcterms:modified>
</cp:coreProperties>
</file>